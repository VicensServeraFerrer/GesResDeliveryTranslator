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icio" sheetId="1" r:id="rId4"/>
    <sheet state="visible" name="Pedido" sheetId="2" r:id="rId5"/>
    <sheet state="visible" name="Proveedores" sheetId="3" r:id="rId6"/>
    <sheet state="visible" name="Productos" sheetId="4" r:id="rId7"/>
    <sheet state="visible" name="BONUS Hoja de impresión Pedido" sheetId="5" r:id="rId8"/>
  </sheets>
  <definedNames/>
  <calcPr/>
  <extLst>
    <ext uri="GoogleSheetsCustomDataVersion2">
      <go:sheetsCustomData xmlns:go="http://customooxmlschemas.google.com/" r:id="rId9" roundtripDataChecksum="73X771xY2VEWThby28xVNHEnZ1MqgxrIsGBNS8JD1Kk="/>
    </ext>
  </extLst>
</workbook>
</file>

<file path=xl/sharedStrings.xml><?xml version="1.0" encoding="utf-8"?>
<sst xmlns="http://schemas.openxmlformats.org/spreadsheetml/2006/main" count="173" uniqueCount="98">
  <si>
    <t xml:space="preserve">ResGes — PEDIDOS </t>
  </si>
  <si>
    <t>Funcionamiento: edita Proveedores y Productos. En 'Pedido' solo rellenas las cantidades; todo lo demás se actualiza solo.</t>
  </si>
  <si>
    <t>1) Rellena la hoja 'Preveedores' con todos sus datos</t>
  </si>
  <si>
    <t>2) Rellena la hoja 'Productos' con cada producto de cada proveedor y sus datos</t>
  </si>
  <si>
    <t>3) Visualiza en la hoja de 'Pedido' los datos de cada producto, SOLO es necesario rellenar la casilla de Cantidad</t>
  </si>
  <si>
    <t>4) En el apartado de totales de la hoja 'Pedido' veras el coste total del pedido</t>
  </si>
  <si>
    <t>Versión 2.0</t>
  </si>
  <si>
    <t>PEDIDO — Rellena solo la columna 'Cantidad'; el resto se actualiza desde 'Productos'</t>
  </si>
  <si>
    <t>SIN IVA</t>
  </si>
  <si>
    <t>IVA</t>
  </si>
  <si>
    <t>CON IVA</t>
  </si>
  <si>
    <t>Proveedor:</t>
  </si>
  <si>
    <t>Total por proveedor (según B5):</t>
  </si>
  <si>
    <t>Totales:</t>
  </si>
  <si>
    <t>Proveedor (auto)</t>
  </si>
  <si>
    <t>Producto (auto)</t>
  </si>
  <si>
    <t>Unidad (auto)</t>
  </si>
  <si>
    <t>Precio s/IVA (auto)</t>
  </si>
  <si>
    <t>IVA % (auto)</t>
  </si>
  <si>
    <t>Cantidad</t>
  </si>
  <si>
    <t>Subtotal</t>
  </si>
  <si>
    <t>IVA €</t>
  </si>
  <si>
    <t>Total línea</t>
  </si>
  <si>
    <t>Obs. pedido</t>
  </si>
  <si>
    <t>Telefono</t>
  </si>
  <si>
    <t>BASE DE DATOS DE PROVEEDORES</t>
  </si>
  <si>
    <t>ID</t>
  </si>
  <si>
    <t>Nombre proveedor</t>
  </si>
  <si>
    <t>Persona contacto</t>
  </si>
  <si>
    <t>Teléfono</t>
  </si>
  <si>
    <t>Email</t>
  </si>
  <si>
    <t>Días de entrega</t>
  </si>
  <si>
    <t>Método de pedido</t>
  </si>
  <si>
    <t>Observaciones</t>
  </si>
  <si>
    <t>Proveedor 1</t>
  </si>
  <si>
    <t>Comercial 1</t>
  </si>
  <si>
    <t>ejemplo@ejepmlo.es</t>
  </si>
  <si>
    <t>Lunes, Martes, Miercoles</t>
  </si>
  <si>
    <t>Whatsapp</t>
  </si>
  <si>
    <t>Proveedor 2</t>
  </si>
  <si>
    <t>Comercial 2</t>
  </si>
  <si>
    <t>Proveedor 3</t>
  </si>
  <si>
    <t>Comercial 3</t>
  </si>
  <si>
    <t>Proveedor 4</t>
  </si>
  <si>
    <t>Comercial 4</t>
  </si>
  <si>
    <t>Proveedor 5</t>
  </si>
  <si>
    <t>Comercial 5</t>
  </si>
  <si>
    <t>CATÁLOGO DE PRODUCTOS (editar aquí; Pedido se actualiza solo)</t>
  </si>
  <si>
    <t>Proveedor</t>
  </si>
  <si>
    <t>Nombre producto</t>
  </si>
  <si>
    <t>Categoría</t>
  </si>
  <si>
    <t>Unidad</t>
  </si>
  <si>
    <t>Precio unitario (€ s/IVA)</t>
  </si>
  <si>
    <t>IVA (%)</t>
  </si>
  <si>
    <t>Código proveedor</t>
  </si>
  <si>
    <t>Vino blanco de la casa</t>
  </si>
  <si>
    <t>Vino</t>
  </si>
  <si>
    <t>Caja (6uds)</t>
  </si>
  <si>
    <t>Vino tinto de la casa</t>
  </si>
  <si>
    <t>Vino rosado de la casa</t>
  </si>
  <si>
    <t xml:space="preserve">Vino </t>
  </si>
  <si>
    <t>Vinagre</t>
  </si>
  <si>
    <t>Ultramarino</t>
  </si>
  <si>
    <t>Fardo (15L)</t>
  </si>
  <si>
    <t>Servilletas de mesa</t>
  </si>
  <si>
    <t>Limpieza</t>
  </si>
  <si>
    <t>Caja (20 paq)</t>
  </si>
  <si>
    <t>Bayetas</t>
  </si>
  <si>
    <t>Paquete (10ud)</t>
  </si>
  <si>
    <t>Desengrasante</t>
  </si>
  <si>
    <t>Garrafa (5L)</t>
  </si>
  <si>
    <t>Amoniaco</t>
  </si>
  <si>
    <t>Ron barceló</t>
  </si>
  <si>
    <t>Licor</t>
  </si>
  <si>
    <t>Botella</t>
  </si>
  <si>
    <t>Gin seegrams</t>
  </si>
  <si>
    <t>Coca cola cristal 33cl</t>
  </si>
  <si>
    <t>Refresco</t>
  </si>
  <si>
    <t>Caja (24ud)</t>
  </si>
  <si>
    <t>Coca cola zero cristal 33cl</t>
  </si>
  <si>
    <t>Fanta naranja cristal 33cl</t>
  </si>
  <si>
    <t>Fanta limon cristal 33cl</t>
  </si>
  <si>
    <t>Caja (24Ud)</t>
  </si>
  <si>
    <t>Fuzetea cristal 33cl</t>
  </si>
  <si>
    <t>Aquabona cristal 0,5</t>
  </si>
  <si>
    <t>Caja (12ud)</t>
  </si>
  <si>
    <t>Aquabona plastico 1,5</t>
  </si>
  <si>
    <t>Fardo (6ud)</t>
  </si>
  <si>
    <t>Aquabona con gas cristal 0,5</t>
  </si>
  <si>
    <t>Aquarius limon 0,33cl</t>
  </si>
  <si>
    <t xml:space="preserve">Estrella galicia 0,33cl </t>
  </si>
  <si>
    <t>Cerveza</t>
  </si>
  <si>
    <t>Caja (20ud)</t>
  </si>
  <si>
    <t xml:space="preserve">Estrella galicia 00 0,33cl </t>
  </si>
  <si>
    <t>Mahou 0,33cl</t>
  </si>
  <si>
    <t>Mahou 00 0,33cl</t>
  </si>
  <si>
    <t>Barril mahou 5 estellas</t>
  </si>
  <si>
    <t>Barril 30L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</si>
</sst>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6.0"/>
      <color rgb="FFFFFFFF"/>
      <name val="Calibri"/>
    </font>
    <font/>
    <font>
      <b/>
      <sz val="12.0"/>
      <color rgb="FF2C2C2C"/>
      <name val="Calibri"/>
    </font>
    <font>
      <sz val="11.0"/>
      <color theme="1"/>
      <name val="Calibri"/>
    </font>
    <font>
      <sz val="10.0"/>
      <color rgb="FF666666"/>
      <name val="Calibri"/>
    </font>
    <font>
      <b/>
      <sz val="14.0"/>
      <color rgb="FF2C2C2C"/>
      <name val="Calibri"/>
    </font>
    <font>
      <color theme="1"/>
      <name val="Calibri"/>
    </font>
    <font>
      <color theme="1"/>
      <name val="Calibri"/>
      <scheme val="minor"/>
    </font>
    <font>
      <b/>
      <sz val="11.0"/>
      <color rgb="FF2C2C2C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4CAF50"/>
        <bgColor rgb="FF4CAF50"/>
      </patternFill>
    </fill>
    <fill>
      <patternFill patternType="solid">
        <fgColor rgb="FFF5F5F5"/>
        <bgColor rgb="FFF5F5F5"/>
      </patternFill>
    </fill>
    <fill>
      <patternFill patternType="solid">
        <fgColor rgb="FFA5D6A7"/>
        <bgColor rgb="FFA5D6A7"/>
      </patternFill>
    </fill>
    <fill>
      <patternFill patternType="solid">
        <fgColor rgb="FFE0E0E0"/>
        <bgColor rgb="FFE0E0E0"/>
      </patternFill>
    </fill>
  </fills>
  <borders count="5">
    <border/>
    <border>
      <left/>
      <top/>
    </border>
    <border>
      <top/>
    </border>
    <border>
      <left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4" fillId="3" fontId="4" numFmtId="0" xfId="0" applyAlignment="1" applyBorder="1" applyFill="1" applyFont="1">
      <alignment readingOrder="0"/>
    </xf>
    <xf borderId="4" fillId="3" fontId="4" numFmtId="0" xfId="0" applyBorder="1" applyFont="1"/>
    <xf borderId="0" fillId="0" fontId="5" numFmtId="0" xfId="0" applyAlignment="1" applyFont="1">
      <alignment horizontal="right" readingOrder="0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0" fillId="0" fontId="7" numFmtId="0" xfId="0" applyFont="1"/>
    <xf borderId="0" fillId="0" fontId="8" numFmtId="0" xfId="0" applyAlignment="1" applyFont="1">
      <alignment readingOrder="0"/>
    </xf>
    <xf borderId="4" fillId="4" fontId="4" numFmtId="0" xfId="0" applyBorder="1" applyFill="1" applyFont="1"/>
    <xf borderId="4" fillId="5" fontId="4" numFmtId="2" xfId="0" applyBorder="1" applyFill="1" applyFont="1" applyNumberFormat="1"/>
    <xf borderId="0" fillId="0" fontId="9" numFmtId="0" xfId="0" applyFont="1"/>
    <xf borderId="4" fillId="3" fontId="9" numFmtId="0" xfId="0" applyAlignment="1" applyBorder="1" applyFont="1">
      <alignment horizontal="center"/>
    </xf>
    <xf borderId="4" fillId="5" fontId="4" numFmtId="0" xfId="0" applyBorder="1" applyFont="1"/>
    <xf borderId="4" fillId="4" fontId="4" numFmtId="2" xfId="0" applyAlignment="1" applyBorder="1" applyFont="1" applyNumberFormat="1">
      <alignment readingOrder="0"/>
    </xf>
    <xf borderId="4" fillId="5" fontId="4" numFmtId="49" xfId="0" applyBorder="1" applyFont="1" applyNumberFormat="1"/>
    <xf borderId="4" fillId="4" fontId="4" numFmtId="2" xfId="0" applyBorder="1" applyFont="1" applyNumberFormat="1"/>
    <xf borderId="4" fillId="4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8" width="22.0"/>
    <col customWidth="1" min="9" max="26" width="8.86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</row>
    <row r="2" ht="24.0" customHeight="1">
      <c r="A2" s="3"/>
    </row>
    <row r="3" ht="24.0" customHeight="1">
      <c r="A3" s="3"/>
    </row>
    <row r="4" ht="24.0" customHeight="1"/>
    <row r="5" ht="24.0" customHeight="1">
      <c r="A5" s="4" t="s">
        <v>1</v>
      </c>
    </row>
    <row r="6" ht="24.0" customHeight="1"/>
    <row r="7" ht="24.0" customHeight="1">
      <c r="A7" s="5" t="s">
        <v>2</v>
      </c>
      <c r="B7" s="6"/>
      <c r="C7" s="6"/>
      <c r="D7" s="6"/>
      <c r="E7" s="6"/>
      <c r="F7" s="6"/>
      <c r="G7" s="6"/>
      <c r="H7" s="6"/>
    </row>
    <row r="8" ht="24.0" customHeight="1">
      <c r="A8" s="5" t="s">
        <v>3</v>
      </c>
      <c r="B8" s="6"/>
      <c r="C8" s="6"/>
      <c r="D8" s="6"/>
      <c r="E8" s="6"/>
      <c r="F8" s="6"/>
      <c r="G8" s="6"/>
      <c r="H8" s="6"/>
    </row>
    <row r="9" ht="24.0" customHeight="1">
      <c r="A9" s="5" t="s">
        <v>4</v>
      </c>
      <c r="B9" s="6"/>
      <c r="C9" s="6"/>
      <c r="D9" s="6"/>
      <c r="E9" s="6"/>
      <c r="F9" s="6"/>
      <c r="G9" s="6"/>
      <c r="H9" s="6"/>
    </row>
    <row r="10" ht="24.0" customHeight="1">
      <c r="A10" s="5" t="s">
        <v>5</v>
      </c>
      <c r="B10" s="6"/>
      <c r="C10" s="6"/>
      <c r="D10" s="6"/>
      <c r="E10" s="6"/>
      <c r="F10" s="6"/>
      <c r="G10" s="6"/>
      <c r="H10" s="6"/>
    </row>
    <row r="11" ht="24.0" customHeight="1"/>
    <row r="12" ht="24.0" customHeight="1"/>
    <row r="13" ht="24.0" customHeight="1"/>
    <row r="14" ht="24.0" customHeight="1">
      <c r="E14" s="7" t="s">
        <v>6</v>
      </c>
    </row>
    <row r="15" ht="24.0" customHeight="1"/>
    <row r="16" ht="24.0" customHeight="1"/>
    <row r="17" ht="24.0" customHeight="1"/>
    <row r="18" ht="24.0" customHeight="1"/>
    <row r="19" ht="24.0" customHeight="1"/>
    <row r="20" ht="24.0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3">
    <mergeCell ref="A1:H3"/>
    <mergeCell ref="A5:H5"/>
    <mergeCell ref="E14:H1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36.0"/>
    <col customWidth="1" min="3" max="3" width="12.0"/>
    <col customWidth="1" min="4" max="4" width="16.0"/>
    <col customWidth="1" min="5" max="5" width="10.0"/>
    <col customWidth="1" min="6" max="6" width="12.0"/>
    <col customWidth="1" min="7" max="9" width="16.0"/>
    <col customWidth="1" min="10" max="10" width="28.0"/>
    <col customWidth="1" min="11" max="11" width="19.29"/>
    <col customWidth="1" min="12" max="26" width="8.86"/>
  </cols>
  <sheetData>
    <row r="1" ht="21.75" customHeight="1">
      <c r="A1" s="8" t="s">
        <v>7</v>
      </c>
      <c r="B1" s="2"/>
      <c r="C1" s="2"/>
      <c r="D1" s="2"/>
      <c r="E1" s="2"/>
      <c r="F1" s="2"/>
      <c r="G1" s="2"/>
      <c r="H1" s="2"/>
      <c r="I1" s="2"/>
      <c r="J1" s="2"/>
    </row>
    <row r="2" ht="21.75" customHeight="1">
      <c r="A2" s="3"/>
    </row>
    <row r="3" ht="21.75" customHeight="1">
      <c r="A3" s="3"/>
    </row>
    <row r="4" ht="21.75" customHeight="1">
      <c r="A4" s="9" t="s">
        <v>7</v>
      </c>
    </row>
    <row r="5" ht="21.75" customHeight="1">
      <c r="A5" s="10"/>
      <c r="B5" s="10"/>
      <c r="C5" s="10"/>
      <c r="D5" s="10"/>
      <c r="E5" s="10"/>
      <c r="F5" s="10"/>
      <c r="I5" s="11" t="s">
        <v>8</v>
      </c>
      <c r="J5" s="11" t="s">
        <v>9</v>
      </c>
      <c r="K5" s="11" t="s">
        <v>10</v>
      </c>
    </row>
    <row r="6" ht="21.75" customHeight="1">
      <c r="A6" s="10" t="s">
        <v>11</v>
      </c>
      <c r="B6" s="12"/>
      <c r="D6" s="10" t="s">
        <v>12</v>
      </c>
      <c r="F6" s="13">
        <f>SUMPRODUCT(($A$9:$A$108=B6)*$I$9:$I$108)</f>
        <v>0</v>
      </c>
      <c r="H6" s="14" t="s">
        <v>13</v>
      </c>
      <c r="I6" s="13">
        <f t="shared" ref="I6:K6" si="1">SUM(G9:G384)</f>
        <v>1728</v>
      </c>
      <c r="J6" s="13">
        <f t="shared" si="1"/>
        <v>357.54</v>
      </c>
      <c r="K6" s="13">
        <f t="shared" si="1"/>
        <v>2085.54</v>
      </c>
    </row>
    <row r="7" ht="21.75" customHeight="1"/>
    <row r="8" ht="21.75" customHeight="1">
      <c r="A8" s="15" t="s">
        <v>14</v>
      </c>
      <c r="B8" s="15" t="s">
        <v>15</v>
      </c>
      <c r="C8" s="15" t="s">
        <v>16</v>
      </c>
      <c r="D8" s="15" t="s">
        <v>17</v>
      </c>
      <c r="E8" s="15" t="s">
        <v>18</v>
      </c>
      <c r="F8" s="15" t="s">
        <v>19</v>
      </c>
      <c r="G8" s="15" t="s">
        <v>20</v>
      </c>
      <c r="H8" s="15" t="s">
        <v>21</v>
      </c>
      <c r="I8" s="15" t="s">
        <v>22</v>
      </c>
      <c r="J8" s="15" t="s">
        <v>23</v>
      </c>
      <c r="K8" s="15" t="s">
        <v>24</v>
      </c>
    </row>
    <row r="9" ht="21.75" customHeight="1">
      <c r="A9" s="16" t="str">
        <f>Productos!B7</f>
        <v>Proveedor 1</v>
      </c>
      <c r="B9" s="16" t="str">
        <f>Productos!C7</f>
        <v>Vino blanco de la casa</v>
      </c>
      <c r="C9" s="16" t="str">
        <f>Productos!E7</f>
        <v>Caja (6uds)</v>
      </c>
      <c r="D9" s="13">
        <f>Productos!F7</f>
        <v>10</v>
      </c>
      <c r="E9" s="13">
        <f>Productos!G7</f>
        <v>21</v>
      </c>
      <c r="F9" s="17">
        <v>2.0</v>
      </c>
      <c r="G9" s="13">
        <f t="shared" ref="G9:G501" si="2">IFERROR(D9*F9,0)</f>
        <v>20</v>
      </c>
      <c r="H9" s="13">
        <f t="shared" ref="H9:H501" si="3">IFERROR(G9*E9/100,0)</f>
        <v>4.2</v>
      </c>
      <c r="I9" s="13">
        <f t="shared" ref="I9:I501" si="4">G9+H9</f>
        <v>24.2</v>
      </c>
      <c r="J9" s="12"/>
      <c r="K9" s="18">
        <f>IFERROR(VLOOKUP(A9,Proveedores!B7:H220,3,0), "")</f>
        <v>1</v>
      </c>
    </row>
    <row r="10" ht="21.75" customHeight="1">
      <c r="A10" s="16" t="str">
        <f>Productos!B8</f>
        <v>Proveedor 1</v>
      </c>
      <c r="B10" s="16" t="str">
        <f>Productos!C8</f>
        <v>Vino tinto de la casa</v>
      </c>
      <c r="C10" s="16" t="str">
        <f>Productos!E8</f>
        <v>Caja (6uds)</v>
      </c>
      <c r="D10" s="13">
        <f>Productos!F8</f>
        <v>10</v>
      </c>
      <c r="E10" s="13">
        <f>Productos!G8</f>
        <v>21</v>
      </c>
      <c r="F10" s="17">
        <v>2.0</v>
      </c>
      <c r="G10" s="13">
        <f t="shared" si="2"/>
        <v>20</v>
      </c>
      <c r="H10" s="13">
        <f t="shared" si="3"/>
        <v>4.2</v>
      </c>
      <c r="I10" s="13">
        <f t="shared" si="4"/>
        <v>24.2</v>
      </c>
      <c r="J10" s="12"/>
      <c r="K10" s="18" t="str">
        <f>IFERROR(VLOOKUP(A10,Proveedores!B8:H221,3,0), "")</f>
        <v/>
      </c>
    </row>
    <row r="11" ht="21.75" customHeight="1">
      <c r="A11" s="16" t="str">
        <f>Productos!B9</f>
        <v>Proveedor 1</v>
      </c>
      <c r="B11" s="16" t="str">
        <f>Productos!C9</f>
        <v>Vino rosado de la casa</v>
      </c>
      <c r="C11" s="16" t="str">
        <f>Productos!E9</f>
        <v>Caja (6uds)</v>
      </c>
      <c r="D11" s="13">
        <f>Productos!F9</f>
        <v>10</v>
      </c>
      <c r="E11" s="13">
        <f>Productos!G9</f>
        <v>21</v>
      </c>
      <c r="F11" s="17">
        <v>2.0</v>
      </c>
      <c r="G11" s="13">
        <f t="shared" si="2"/>
        <v>20</v>
      </c>
      <c r="H11" s="13">
        <f t="shared" si="3"/>
        <v>4.2</v>
      </c>
      <c r="I11" s="13">
        <f t="shared" si="4"/>
        <v>24.2</v>
      </c>
      <c r="J11" s="12"/>
      <c r="K11" s="18" t="str">
        <f>IFERROR(VLOOKUP(A11,Proveedores!B9:H222,3,0), "")</f>
        <v/>
      </c>
    </row>
    <row r="12" ht="21.75" customHeight="1">
      <c r="A12" s="16" t="str">
        <f>Productos!B10</f>
        <v>Proveedor 1</v>
      </c>
      <c r="B12" s="16" t="str">
        <f>Productos!C10</f>
        <v>Vinagre</v>
      </c>
      <c r="C12" s="16" t="str">
        <f>Productos!E10</f>
        <v>Fardo (15L)</v>
      </c>
      <c r="D12" s="13">
        <f>Productos!F10</f>
        <v>5</v>
      </c>
      <c r="E12" s="13">
        <f>Productos!G10</f>
        <v>10</v>
      </c>
      <c r="F12" s="17">
        <v>2.0</v>
      </c>
      <c r="G12" s="13">
        <f t="shared" si="2"/>
        <v>10</v>
      </c>
      <c r="H12" s="13">
        <f t="shared" si="3"/>
        <v>1</v>
      </c>
      <c r="I12" s="13">
        <f t="shared" si="4"/>
        <v>11</v>
      </c>
      <c r="J12" s="12"/>
      <c r="K12" s="18" t="str">
        <f>IFERROR(VLOOKUP(A12,Proveedores!B10:H223,3,0), "")</f>
        <v/>
      </c>
    </row>
    <row r="13" ht="21.75" customHeight="1">
      <c r="A13" s="16" t="str">
        <f>Productos!B11</f>
        <v>Proveedor 2</v>
      </c>
      <c r="B13" s="16" t="str">
        <f>Productos!C11</f>
        <v>Servilletas de mesa</v>
      </c>
      <c r="C13" s="16" t="str">
        <f>Productos!E11</f>
        <v>Caja (20 paq)</v>
      </c>
      <c r="D13" s="13">
        <f>Productos!F11</f>
        <v>80</v>
      </c>
      <c r="E13" s="13">
        <f>Productos!G11</f>
        <v>21</v>
      </c>
      <c r="F13" s="17">
        <v>2.0</v>
      </c>
      <c r="G13" s="13">
        <f t="shared" si="2"/>
        <v>160</v>
      </c>
      <c r="H13" s="13">
        <f t="shared" si="3"/>
        <v>33.6</v>
      </c>
      <c r="I13" s="13">
        <f t="shared" si="4"/>
        <v>193.6</v>
      </c>
      <c r="J13" s="12"/>
      <c r="K13" s="18" t="str">
        <f>IFERROR(VLOOKUP(A13,Proveedores!B11:H224,3,0), "")</f>
        <v/>
      </c>
    </row>
    <row r="14" ht="21.75" customHeight="1">
      <c r="A14" s="16" t="str">
        <f>Productos!B12</f>
        <v>Proveedor 2</v>
      </c>
      <c r="B14" s="16" t="str">
        <f>Productos!C12</f>
        <v>Bayetas</v>
      </c>
      <c r="C14" s="16" t="str">
        <f>Productos!E12</f>
        <v>Paquete (10ud)</v>
      </c>
      <c r="D14" s="13">
        <f>Productos!F12</f>
        <v>5</v>
      </c>
      <c r="E14" s="13">
        <f>Productos!G12</f>
        <v>21</v>
      </c>
      <c r="F14" s="17">
        <v>2.0</v>
      </c>
      <c r="G14" s="13">
        <f t="shared" si="2"/>
        <v>10</v>
      </c>
      <c r="H14" s="13">
        <f t="shared" si="3"/>
        <v>2.1</v>
      </c>
      <c r="I14" s="13">
        <f t="shared" si="4"/>
        <v>12.1</v>
      </c>
      <c r="J14" s="12"/>
      <c r="K14" s="18" t="str">
        <f>IFERROR(VLOOKUP(A14,Proveedores!B12:H225,3,0), "")</f>
        <v/>
      </c>
    </row>
    <row r="15" ht="21.75" customHeight="1">
      <c r="A15" s="16" t="str">
        <f>Productos!B13</f>
        <v>Proveedor 2</v>
      </c>
      <c r="B15" s="16" t="str">
        <f>Productos!C13</f>
        <v>Desengrasante</v>
      </c>
      <c r="C15" s="16" t="str">
        <f>Productos!E13</f>
        <v>Garrafa (5L)</v>
      </c>
      <c r="D15" s="13">
        <f>Productos!F13</f>
        <v>20</v>
      </c>
      <c r="E15" s="13">
        <f>Productos!G13</f>
        <v>21</v>
      </c>
      <c r="F15" s="17">
        <v>2.0</v>
      </c>
      <c r="G15" s="13">
        <f t="shared" si="2"/>
        <v>40</v>
      </c>
      <c r="H15" s="13">
        <f t="shared" si="3"/>
        <v>8.4</v>
      </c>
      <c r="I15" s="13">
        <f t="shared" si="4"/>
        <v>48.4</v>
      </c>
      <c r="J15" s="12"/>
      <c r="K15" s="18" t="str">
        <f>IFERROR(VLOOKUP(A15,Proveedores!B13:H226,3,0), "")</f>
        <v/>
      </c>
    </row>
    <row r="16" ht="21.75" customHeight="1">
      <c r="A16" s="16" t="str">
        <f>Productos!B14</f>
        <v>Proveedor 2</v>
      </c>
      <c r="B16" s="16" t="str">
        <f>Productos!C14</f>
        <v>Amoniaco</v>
      </c>
      <c r="C16" s="16" t="str">
        <f>Productos!E14</f>
        <v>Garrafa (5L)</v>
      </c>
      <c r="D16" s="13">
        <f>Productos!F14</f>
        <v>20</v>
      </c>
      <c r="E16" s="13">
        <f>Productos!G14</f>
        <v>21</v>
      </c>
      <c r="F16" s="17">
        <v>2.0</v>
      </c>
      <c r="G16" s="13">
        <f t="shared" si="2"/>
        <v>40</v>
      </c>
      <c r="H16" s="13">
        <f t="shared" si="3"/>
        <v>8.4</v>
      </c>
      <c r="I16" s="13">
        <f t="shared" si="4"/>
        <v>48.4</v>
      </c>
      <c r="J16" s="12"/>
      <c r="K16" s="18" t="str">
        <f>IFERROR(VLOOKUP(A16,Proveedores!B14:H227,3,0), "")</f>
        <v/>
      </c>
    </row>
    <row r="17" ht="21.75" customHeight="1">
      <c r="A17" s="16" t="str">
        <f>Productos!B15</f>
        <v>Proveedor 3</v>
      </c>
      <c r="B17" s="16" t="str">
        <f>Productos!C15</f>
        <v>Ron barceló</v>
      </c>
      <c r="C17" s="16" t="str">
        <f>Productos!E15</f>
        <v>Botella</v>
      </c>
      <c r="D17" s="13">
        <f>Productos!F15</f>
        <v>15</v>
      </c>
      <c r="E17" s="13">
        <f>Productos!G15</f>
        <v>21</v>
      </c>
      <c r="F17" s="17">
        <v>2.0</v>
      </c>
      <c r="G17" s="13">
        <f t="shared" si="2"/>
        <v>30</v>
      </c>
      <c r="H17" s="13">
        <f t="shared" si="3"/>
        <v>6.3</v>
      </c>
      <c r="I17" s="13">
        <f t="shared" si="4"/>
        <v>36.3</v>
      </c>
      <c r="J17" s="12"/>
      <c r="K17" s="18" t="str">
        <f>IFERROR(VLOOKUP(A17,Proveedores!B15:H228,3,0), "")</f>
        <v/>
      </c>
    </row>
    <row r="18" ht="21.75" customHeight="1">
      <c r="A18" s="16" t="str">
        <f>Productos!B16</f>
        <v>Proveedor 3</v>
      </c>
      <c r="B18" s="16" t="str">
        <f>Productos!C16</f>
        <v>Gin seegrams</v>
      </c>
      <c r="C18" s="16" t="str">
        <f>Productos!E16</f>
        <v>Botella</v>
      </c>
      <c r="D18" s="13">
        <f>Productos!F16</f>
        <v>15</v>
      </c>
      <c r="E18" s="13">
        <f>Productos!G16</f>
        <v>21</v>
      </c>
      <c r="F18" s="17">
        <v>2.0</v>
      </c>
      <c r="G18" s="13">
        <f t="shared" si="2"/>
        <v>30</v>
      </c>
      <c r="H18" s="13">
        <f t="shared" si="3"/>
        <v>6.3</v>
      </c>
      <c r="I18" s="13">
        <f t="shared" si="4"/>
        <v>36.3</v>
      </c>
      <c r="J18" s="12"/>
      <c r="K18" s="18" t="str">
        <f>IFERROR(VLOOKUP(A18,Proveedores!B16:H229,3,0), "")</f>
        <v/>
      </c>
    </row>
    <row r="19" ht="21.75" customHeight="1">
      <c r="A19" s="16" t="str">
        <f>Productos!B17</f>
        <v>Proveedor 4</v>
      </c>
      <c r="B19" s="16" t="str">
        <f>Productos!C17</f>
        <v>Coca cola cristal 33cl</v>
      </c>
      <c r="C19" s="16" t="str">
        <f>Productos!E17</f>
        <v>Caja (24ud)</v>
      </c>
      <c r="D19" s="13">
        <f>Productos!F17</f>
        <v>20</v>
      </c>
      <c r="E19" s="13">
        <f>Productos!G17</f>
        <v>21</v>
      </c>
      <c r="F19" s="17">
        <v>22.0</v>
      </c>
      <c r="G19" s="13">
        <f t="shared" si="2"/>
        <v>440</v>
      </c>
      <c r="H19" s="13">
        <f t="shared" si="3"/>
        <v>92.4</v>
      </c>
      <c r="I19" s="13">
        <f t="shared" si="4"/>
        <v>532.4</v>
      </c>
      <c r="J19" s="12"/>
      <c r="K19" s="18" t="str">
        <f>IFERROR(VLOOKUP(A19,Proveedores!B17:H230,3,0), "")</f>
        <v/>
      </c>
    </row>
    <row r="20" ht="21.75" customHeight="1">
      <c r="A20" s="16" t="str">
        <f>Productos!B18</f>
        <v>Proveedor 4</v>
      </c>
      <c r="B20" s="16" t="str">
        <f>Productos!C18</f>
        <v>Coca cola zero cristal 33cl</v>
      </c>
      <c r="C20" s="16" t="str">
        <f>Productos!E18</f>
        <v>Caja (24ud)</v>
      </c>
      <c r="D20" s="13">
        <f>Productos!F18</f>
        <v>20</v>
      </c>
      <c r="E20" s="13">
        <f>Productos!G18</f>
        <v>21</v>
      </c>
      <c r="F20" s="17">
        <v>2.0</v>
      </c>
      <c r="G20" s="13">
        <f t="shared" si="2"/>
        <v>40</v>
      </c>
      <c r="H20" s="13">
        <f t="shared" si="3"/>
        <v>8.4</v>
      </c>
      <c r="I20" s="13">
        <f t="shared" si="4"/>
        <v>48.4</v>
      </c>
      <c r="J20" s="12"/>
      <c r="K20" s="18" t="str">
        <f>IFERROR(VLOOKUP(A20,Proveedores!B18:H231,3,0), "")</f>
        <v/>
      </c>
    </row>
    <row r="21" ht="21.75" customHeight="1">
      <c r="A21" s="16" t="str">
        <f>Productos!B19</f>
        <v>Proveedor 4</v>
      </c>
      <c r="B21" s="16" t="str">
        <f>Productos!C19</f>
        <v>Fanta naranja cristal 33cl</v>
      </c>
      <c r="C21" s="16" t="str">
        <f>Productos!E19</f>
        <v>Caja (24ud)</v>
      </c>
      <c r="D21" s="13">
        <f>Productos!F19</f>
        <v>20</v>
      </c>
      <c r="E21" s="13">
        <f>Productos!G19</f>
        <v>21</v>
      </c>
      <c r="F21" s="17">
        <v>2.0</v>
      </c>
      <c r="G21" s="13">
        <f t="shared" si="2"/>
        <v>40</v>
      </c>
      <c r="H21" s="13">
        <f t="shared" si="3"/>
        <v>8.4</v>
      </c>
      <c r="I21" s="13">
        <f t="shared" si="4"/>
        <v>48.4</v>
      </c>
      <c r="J21" s="12"/>
      <c r="K21" s="18" t="str">
        <f>IFERROR(VLOOKUP(A21,Proveedores!B19:H232,3,0), "")</f>
        <v/>
      </c>
    </row>
    <row r="22" ht="21.75" customHeight="1">
      <c r="A22" s="16" t="str">
        <f>Productos!B20</f>
        <v>Proveedor 4</v>
      </c>
      <c r="B22" s="16" t="str">
        <f>Productos!C20</f>
        <v>Fanta limon cristal 33cl</v>
      </c>
      <c r="C22" s="16" t="str">
        <f>Productos!E20</f>
        <v>Caja (24Ud)</v>
      </c>
      <c r="D22" s="13">
        <f>Productos!F20</f>
        <v>20</v>
      </c>
      <c r="E22" s="13">
        <f>Productos!G20</f>
        <v>21</v>
      </c>
      <c r="F22" s="17">
        <v>2.0</v>
      </c>
      <c r="G22" s="13">
        <f t="shared" si="2"/>
        <v>40</v>
      </c>
      <c r="H22" s="13">
        <f t="shared" si="3"/>
        <v>8.4</v>
      </c>
      <c r="I22" s="13">
        <f t="shared" si="4"/>
        <v>48.4</v>
      </c>
      <c r="J22" s="12"/>
      <c r="K22" s="18" t="str">
        <f>IFERROR(VLOOKUP(A22,Proveedores!B20:H233,3,0), "")</f>
        <v/>
      </c>
    </row>
    <row r="23" ht="21.75" customHeight="1">
      <c r="A23" s="16" t="str">
        <f>Productos!B21</f>
        <v>Proveedor 4</v>
      </c>
      <c r="B23" s="16" t="str">
        <f>Productos!C21</f>
        <v>Fuzetea cristal 33cl</v>
      </c>
      <c r="C23" s="16" t="str">
        <f>Productos!E21</f>
        <v>Caja (24Ud)</v>
      </c>
      <c r="D23" s="13">
        <f>Productos!F21</f>
        <v>20</v>
      </c>
      <c r="E23" s="13">
        <f>Productos!G21</f>
        <v>21</v>
      </c>
      <c r="F23" s="17">
        <v>22.0</v>
      </c>
      <c r="G23" s="13">
        <f t="shared" si="2"/>
        <v>440</v>
      </c>
      <c r="H23" s="13">
        <f t="shared" si="3"/>
        <v>92.4</v>
      </c>
      <c r="I23" s="13">
        <f t="shared" si="4"/>
        <v>532.4</v>
      </c>
      <c r="J23" s="12"/>
      <c r="K23" s="18" t="str">
        <f>IFERROR(VLOOKUP(A23,Proveedores!B21:H234,3,0), "")</f>
        <v/>
      </c>
    </row>
    <row r="24" ht="21.75" customHeight="1">
      <c r="A24" s="16" t="str">
        <f>Productos!B22</f>
        <v>Proveedor 4</v>
      </c>
      <c r="B24" s="16" t="str">
        <f>Productos!C22</f>
        <v>Aquabona cristal 0,5</v>
      </c>
      <c r="C24" s="16" t="str">
        <f>Productos!E22</f>
        <v>Caja (12ud)</v>
      </c>
      <c r="D24" s="13">
        <f>Productos!F22</f>
        <v>6</v>
      </c>
      <c r="E24" s="13">
        <f>Productos!G22</f>
        <v>4</v>
      </c>
      <c r="F24" s="17">
        <v>2.0</v>
      </c>
      <c r="G24" s="13">
        <f t="shared" si="2"/>
        <v>12</v>
      </c>
      <c r="H24" s="13">
        <f t="shared" si="3"/>
        <v>0.48</v>
      </c>
      <c r="I24" s="13">
        <f t="shared" si="4"/>
        <v>12.48</v>
      </c>
      <c r="J24" s="12"/>
      <c r="K24" s="18" t="str">
        <f>IFERROR(VLOOKUP(A24,Proveedores!B22:H235,3,0), "")</f>
        <v/>
      </c>
    </row>
    <row r="25" ht="21.75" customHeight="1">
      <c r="A25" s="16" t="str">
        <f>Productos!B23</f>
        <v>Proveedor 4</v>
      </c>
      <c r="B25" s="16" t="str">
        <f>Productos!C23</f>
        <v>Aquabona plastico 1,5</v>
      </c>
      <c r="C25" s="16" t="str">
        <f>Productos!E23</f>
        <v>Fardo (6ud)</v>
      </c>
      <c r="D25" s="13">
        <f>Productos!F23</f>
        <v>4</v>
      </c>
      <c r="E25" s="13">
        <f>Productos!G23</f>
        <v>10</v>
      </c>
      <c r="F25" s="17">
        <v>2.0</v>
      </c>
      <c r="G25" s="13">
        <f t="shared" si="2"/>
        <v>8</v>
      </c>
      <c r="H25" s="13">
        <f t="shared" si="3"/>
        <v>0.8</v>
      </c>
      <c r="I25" s="13">
        <f t="shared" si="4"/>
        <v>8.8</v>
      </c>
      <c r="J25" s="12"/>
      <c r="K25" s="18" t="str">
        <f>IFERROR(VLOOKUP(A25,Proveedores!B23:H236,3,0), "")</f>
        <v/>
      </c>
    </row>
    <row r="26" ht="21.75" customHeight="1">
      <c r="A26" s="16" t="str">
        <f>Productos!B24</f>
        <v>Proveedor 4</v>
      </c>
      <c r="B26" s="16" t="str">
        <f>Productos!C24</f>
        <v>Aquabona con gas cristal 0,5</v>
      </c>
      <c r="C26" s="16" t="str">
        <f>Productos!E24</f>
        <v>Caja (12ud)</v>
      </c>
      <c r="D26" s="13">
        <f>Productos!F24</f>
        <v>6</v>
      </c>
      <c r="E26" s="13">
        <f>Productos!G24</f>
        <v>10</v>
      </c>
      <c r="F26" s="17">
        <v>2.0</v>
      </c>
      <c r="G26" s="13">
        <f t="shared" si="2"/>
        <v>12</v>
      </c>
      <c r="H26" s="13">
        <f t="shared" si="3"/>
        <v>1.2</v>
      </c>
      <c r="I26" s="13">
        <f t="shared" si="4"/>
        <v>13.2</v>
      </c>
      <c r="J26" s="12"/>
      <c r="K26" s="18" t="str">
        <f>IFERROR(VLOOKUP(A26,Proveedores!B24:H237,3,0), "")</f>
        <v/>
      </c>
    </row>
    <row r="27" ht="21.75" customHeight="1">
      <c r="A27" s="16" t="str">
        <f>Productos!B25</f>
        <v>Proveedor 4</v>
      </c>
      <c r="B27" s="16" t="str">
        <f>Productos!C25</f>
        <v>Aquarius limon 0,33cl</v>
      </c>
      <c r="C27" s="16" t="str">
        <f>Productos!E25</f>
        <v>Caja (24Ud)</v>
      </c>
      <c r="D27" s="13">
        <f>Productos!F25</f>
        <v>20</v>
      </c>
      <c r="E27" s="13">
        <f>Productos!G25</f>
        <v>21</v>
      </c>
      <c r="F27" s="17">
        <v>2.0</v>
      </c>
      <c r="G27" s="13">
        <f t="shared" si="2"/>
        <v>40</v>
      </c>
      <c r="H27" s="13">
        <f t="shared" si="3"/>
        <v>8.4</v>
      </c>
      <c r="I27" s="13">
        <f t="shared" si="4"/>
        <v>48.4</v>
      </c>
      <c r="J27" s="12"/>
      <c r="K27" s="18" t="str">
        <f>IFERROR(VLOOKUP(A27,Proveedores!B25:H238,3,0), "")</f>
        <v/>
      </c>
    </row>
    <row r="28" ht="21.75" customHeight="1">
      <c r="A28" s="16" t="str">
        <f>Productos!B26</f>
        <v>Proveedor 5</v>
      </c>
      <c r="B28" s="16" t="str">
        <f>Productos!C26</f>
        <v>Estrella galicia 0,33cl </v>
      </c>
      <c r="C28" s="16" t="str">
        <f>Productos!E26</f>
        <v>Caja (20ud)</v>
      </c>
      <c r="D28" s="13">
        <f>Productos!F26</f>
        <v>22</v>
      </c>
      <c r="E28" s="13">
        <f>Productos!G26</f>
        <v>21</v>
      </c>
      <c r="F28" s="17">
        <v>2.0</v>
      </c>
      <c r="G28" s="13">
        <f t="shared" si="2"/>
        <v>44</v>
      </c>
      <c r="H28" s="13">
        <f t="shared" si="3"/>
        <v>9.24</v>
      </c>
      <c r="I28" s="13">
        <f t="shared" si="4"/>
        <v>53.24</v>
      </c>
      <c r="J28" s="12"/>
      <c r="K28" s="18" t="str">
        <f>IFERROR(VLOOKUP(A28,Proveedores!B26:H239,3,0), "")</f>
        <v/>
      </c>
    </row>
    <row r="29" ht="21.75" customHeight="1">
      <c r="A29" s="16" t="str">
        <f>Productos!B27</f>
        <v>Proveedor 5</v>
      </c>
      <c r="B29" s="16" t="str">
        <f>Productos!C27</f>
        <v>Estrella galicia 00 0,33cl </v>
      </c>
      <c r="C29" s="16" t="str">
        <f>Productos!E27</f>
        <v>Caja (20ud)</v>
      </c>
      <c r="D29" s="13">
        <f>Productos!F27</f>
        <v>22</v>
      </c>
      <c r="E29" s="13">
        <f>Productos!G27</f>
        <v>21</v>
      </c>
      <c r="F29" s="17">
        <v>2.0</v>
      </c>
      <c r="G29" s="13">
        <f t="shared" si="2"/>
        <v>44</v>
      </c>
      <c r="H29" s="13">
        <f t="shared" si="3"/>
        <v>9.24</v>
      </c>
      <c r="I29" s="13">
        <f t="shared" si="4"/>
        <v>53.24</v>
      </c>
      <c r="J29" s="12"/>
      <c r="K29" s="18" t="str">
        <f>IFERROR(VLOOKUP(A29,Proveedores!B27:H240,3,0), "")</f>
        <v/>
      </c>
    </row>
    <row r="30" ht="21.75" customHeight="1">
      <c r="A30" s="16" t="str">
        <f>Productos!B28</f>
        <v>Proveedor 5</v>
      </c>
      <c r="B30" s="16" t="str">
        <f>Productos!C28</f>
        <v>Mahou 0,33cl</v>
      </c>
      <c r="C30" s="16" t="str">
        <f>Productos!E28</f>
        <v>Caja (20ud)</v>
      </c>
      <c r="D30" s="13">
        <f>Productos!F28</f>
        <v>22</v>
      </c>
      <c r="E30" s="13">
        <f>Productos!G28</f>
        <v>21</v>
      </c>
      <c r="F30" s="17">
        <v>2.0</v>
      </c>
      <c r="G30" s="13">
        <f t="shared" si="2"/>
        <v>44</v>
      </c>
      <c r="H30" s="13">
        <f t="shared" si="3"/>
        <v>9.24</v>
      </c>
      <c r="I30" s="13">
        <f t="shared" si="4"/>
        <v>53.24</v>
      </c>
      <c r="J30" s="12"/>
      <c r="K30" s="18" t="str">
        <f>IFERROR(VLOOKUP(A30,Proveedores!B28:H241,3,0), "")</f>
        <v/>
      </c>
    </row>
    <row r="31" ht="21.75" customHeight="1">
      <c r="A31" s="16" t="str">
        <f>Productos!B29</f>
        <v>Proveedor 5</v>
      </c>
      <c r="B31" s="16" t="str">
        <f>Productos!C29</f>
        <v>Mahou 00 0,33cl</v>
      </c>
      <c r="C31" s="16" t="str">
        <f>Productos!E29</f>
        <v>Caja (20ud)</v>
      </c>
      <c r="D31" s="13">
        <f>Productos!F29</f>
        <v>22</v>
      </c>
      <c r="E31" s="13">
        <f>Productos!G29</f>
        <v>21</v>
      </c>
      <c r="F31" s="17">
        <v>2.0</v>
      </c>
      <c r="G31" s="13">
        <f t="shared" si="2"/>
        <v>44</v>
      </c>
      <c r="H31" s="13">
        <f t="shared" si="3"/>
        <v>9.24</v>
      </c>
      <c r="I31" s="13">
        <f t="shared" si="4"/>
        <v>53.24</v>
      </c>
      <c r="J31" s="12"/>
      <c r="K31" s="18" t="str">
        <f>IFERROR(VLOOKUP(A31,Proveedores!B29:H242,3,0), "")</f>
        <v/>
      </c>
    </row>
    <row r="32" ht="21.75" customHeight="1">
      <c r="A32" s="16" t="str">
        <f>Productos!B30</f>
        <v>Proveedor 5</v>
      </c>
      <c r="B32" s="16" t="str">
        <f>Productos!C30</f>
        <v>Barril mahou 5 estellas</v>
      </c>
      <c r="C32" s="16" t="str">
        <f>Productos!E30</f>
        <v>Barril 30L</v>
      </c>
      <c r="D32" s="13">
        <f>Productos!F30</f>
        <v>50</v>
      </c>
      <c r="E32" s="13">
        <f>Productos!G30</f>
        <v>21</v>
      </c>
      <c r="F32" s="17">
        <v>2.0</v>
      </c>
      <c r="G32" s="13">
        <f t="shared" si="2"/>
        <v>100</v>
      </c>
      <c r="H32" s="13">
        <f t="shared" si="3"/>
        <v>21</v>
      </c>
      <c r="I32" s="13">
        <f t="shared" si="4"/>
        <v>121</v>
      </c>
      <c r="J32" s="12"/>
      <c r="K32" s="18" t="str">
        <f>IFERROR(VLOOKUP(A32,Proveedores!B30:H243,3,0), "")</f>
        <v/>
      </c>
    </row>
    <row r="33" ht="21.75" customHeight="1">
      <c r="A33" s="16" t="str">
        <f>Productos!B31</f>
        <v/>
      </c>
      <c r="B33" s="16" t="str">
        <f>Productos!C31</f>
        <v/>
      </c>
      <c r="C33" s="16" t="str">
        <f>Productos!E31</f>
        <v/>
      </c>
      <c r="D33" s="13" t="str">
        <f>Productos!F31</f>
        <v/>
      </c>
      <c r="E33" s="13" t="str">
        <f>Productos!G31</f>
        <v/>
      </c>
      <c r="F33" s="17"/>
      <c r="G33" s="13">
        <f t="shared" si="2"/>
        <v>0</v>
      </c>
      <c r="H33" s="13">
        <f t="shared" si="3"/>
        <v>0</v>
      </c>
      <c r="I33" s="13">
        <f t="shared" si="4"/>
        <v>0</v>
      </c>
      <c r="J33" s="12"/>
      <c r="K33" s="18" t="str">
        <f>IFERROR(VLOOKUP(A33,Proveedores!B31:H244,3,0), "")</f>
        <v/>
      </c>
    </row>
    <row r="34" ht="21.75" customHeight="1">
      <c r="A34" s="16" t="str">
        <f>Productos!B32</f>
        <v/>
      </c>
      <c r="B34" s="16" t="str">
        <f>Productos!C32</f>
        <v/>
      </c>
      <c r="C34" s="16" t="str">
        <f>Productos!E32</f>
        <v/>
      </c>
      <c r="D34" s="13" t="str">
        <f>Productos!F32</f>
        <v/>
      </c>
      <c r="E34" s="13" t="str">
        <f>Productos!G32</f>
        <v/>
      </c>
      <c r="F34" s="19"/>
      <c r="G34" s="13">
        <f t="shared" si="2"/>
        <v>0</v>
      </c>
      <c r="H34" s="13">
        <f t="shared" si="3"/>
        <v>0</v>
      </c>
      <c r="I34" s="13">
        <f t="shared" si="4"/>
        <v>0</v>
      </c>
      <c r="J34" s="12"/>
      <c r="K34" s="18" t="str">
        <f>IFERROR(VLOOKUP(A34,Proveedores!B32:H245,3,0), "")</f>
        <v/>
      </c>
    </row>
    <row r="35" ht="21.75" customHeight="1">
      <c r="A35" s="16" t="str">
        <f>Productos!B33</f>
        <v/>
      </c>
      <c r="B35" s="16" t="str">
        <f>Productos!C33</f>
        <v/>
      </c>
      <c r="C35" s="16" t="str">
        <f>Productos!E33</f>
        <v/>
      </c>
      <c r="D35" s="13" t="str">
        <f>Productos!F33</f>
        <v/>
      </c>
      <c r="E35" s="13" t="str">
        <f>Productos!G33</f>
        <v/>
      </c>
      <c r="F35" s="19"/>
      <c r="G35" s="13">
        <f t="shared" si="2"/>
        <v>0</v>
      </c>
      <c r="H35" s="13">
        <f t="shared" si="3"/>
        <v>0</v>
      </c>
      <c r="I35" s="13">
        <f t="shared" si="4"/>
        <v>0</v>
      </c>
      <c r="J35" s="12"/>
      <c r="K35" s="18" t="str">
        <f>IFERROR(VLOOKUP(A35,Proveedores!B33:H246,3,0), "")</f>
        <v/>
      </c>
    </row>
    <row r="36" ht="21.75" customHeight="1">
      <c r="A36" s="16" t="str">
        <f>Productos!B34</f>
        <v/>
      </c>
      <c r="B36" s="16" t="str">
        <f>Productos!C34</f>
        <v/>
      </c>
      <c r="C36" s="16" t="str">
        <f>Productos!E34</f>
        <v/>
      </c>
      <c r="D36" s="13" t="str">
        <f>Productos!F34</f>
        <v/>
      </c>
      <c r="E36" s="13" t="str">
        <f>Productos!G34</f>
        <v/>
      </c>
      <c r="F36" s="19"/>
      <c r="G36" s="13">
        <f t="shared" si="2"/>
        <v>0</v>
      </c>
      <c r="H36" s="13">
        <f t="shared" si="3"/>
        <v>0</v>
      </c>
      <c r="I36" s="13">
        <f t="shared" si="4"/>
        <v>0</v>
      </c>
      <c r="J36" s="12"/>
      <c r="K36" s="18" t="str">
        <f>IFERROR(VLOOKUP(A36,Proveedores!B34:H247,3,0), "")</f>
        <v/>
      </c>
    </row>
    <row r="37" ht="21.75" customHeight="1">
      <c r="A37" s="16" t="str">
        <f>Productos!B35</f>
        <v/>
      </c>
      <c r="B37" s="16" t="str">
        <f>Productos!C35</f>
        <v/>
      </c>
      <c r="C37" s="16" t="str">
        <f>Productos!E35</f>
        <v/>
      </c>
      <c r="D37" s="13" t="str">
        <f>Productos!F35</f>
        <v/>
      </c>
      <c r="E37" s="13" t="str">
        <f>Productos!G35</f>
        <v/>
      </c>
      <c r="F37" s="19"/>
      <c r="G37" s="13">
        <f t="shared" si="2"/>
        <v>0</v>
      </c>
      <c r="H37" s="13">
        <f t="shared" si="3"/>
        <v>0</v>
      </c>
      <c r="I37" s="13">
        <f t="shared" si="4"/>
        <v>0</v>
      </c>
      <c r="J37" s="12"/>
      <c r="K37" s="18" t="str">
        <f>IFERROR(VLOOKUP(A37,Proveedores!B35:H248,3,0), "")</f>
        <v/>
      </c>
    </row>
    <row r="38" ht="21.75" customHeight="1">
      <c r="A38" s="16" t="str">
        <f>Productos!B36</f>
        <v/>
      </c>
      <c r="B38" s="16" t="str">
        <f>Productos!C36</f>
        <v/>
      </c>
      <c r="C38" s="16" t="str">
        <f>Productos!E36</f>
        <v/>
      </c>
      <c r="D38" s="13" t="str">
        <f>Productos!F36</f>
        <v/>
      </c>
      <c r="E38" s="13" t="str">
        <f>Productos!G36</f>
        <v/>
      </c>
      <c r="F38" s="19"/>
      <c r="G38" s="13">
        <f t="shared" si="2"/>
        <v>0</v>
      </c>
      <c r="H38" s="13">
        <f t="shared" si="3"/>
        <v>0</v>
      </c>
      <c r="I38" s="13">
        <f t="shared" si="4"/>
        <v>0</v>
      </c>
      <c r="J38" s="12"/>
      <c r="K38" s="18" t="str">
        <f>IFERROR(VLOOKUP(A38,Proveedores!B36:H249,3,0), "")</f>
        <v/>
      </c>
    </row>
    <row r="39" ht="21.75" customHeight="1">
      <c r="A39" s="16" t="str">
        <f>Productos!B37</f>
        <v/>
      </c>
      <c r="B39" s="16" t="str">
        <f>Productos!C37</f>
        <v/>
      </c>
      <c r="C39" s="16" t="str">
        <f>Productos!E37</f>
        <v/>
      </c>
      <c r="D39" s="13" t="str">
        <f>Productos!F37</f>
        <v/>
      </c>
      <c r="E39" s="13" t="str">
        <f>Productos!G37</f>
        <v/>
      </c>
      <c r="F39" s="19"/>
      <c r="G39" s="13">
        <f t="shared" si="2"/>
        <v>0</v>
      </c>
      <c r="H39" s="13">
        <f t="shared" si="3"/>
        <v>0</v>
      </c>
      <c r="I39" s="13">
        <f t="shared" si="4"/>
        <v>0</v>
      </c>
      <c r="J39" s="12"/>
      <c r="K39" s="18" t="str">
        <f>IFERROR(VLOOKUP(A39,Proveedores!B37:H250,3,0), "")</f>
        <v/>
      </c>
    </row>
    <row r="40" ht="21.75" customHeight="1">
      <c r="A40" s="16" t="str">
        <f>Productos!B38</f>
        <v/>
      </c>
      <c r="B40" s="16" t="str">
        <f>Productos!C38</f>
        <v/>
      </c>
      <c r="C40" s="16" t="str">
        <f>Productos!E38</f>
        <v/>
      </c>
      <c r="D40" s="13" t="str">
        <f>Productos!F38</f>
        <v/>
      </c>
      <c r="E40" s="13" t="str">
        <f>Productos!G38</f>
        <v/>
      </c>
      <c r="F40" s="19"/>
      <c r="G40" s="13">
        <f t="shared" si="2"/>
        <v>0</v>
      </c>
      <c r="H40" s="13">
        <f t="shared" si="3"/>
        <v>0</v>
      </c>
      <c r="I40" s="13">
        <f t="shared" si="4"/>
        <v>0</v>
      </c>
      <c r="J40" s="12"/>
      <c r="K40" s="18" t="str">
        <f>IFERROR(VLOOKUP(A40,Proveedores!B38:H251,3,0), "")</f>
        <v/>
      </c>
    </row>
    <row r="41" ht="21.75" customHeight="1">
      <c r="A41" s="16" t="str">
        <f>Productos!B39</f>
        <v/>
      </c>
      <c r="B41" s="16" t="str">
        <f>Productos!C39</f>
        <v/>
      </c>
      <c r="C41" s="16" t="str">
        <f>Productos!E39</f>
        <v/>
      </c>
      <c r="D41" s="13" t="str">
        <f>Productos!F39</f>
        <v/>
      </c>
      <c r="E41" s="13" t="str">
        <f>Productos!G39</f>
        <v/>
      </c>
      <c r="F41" s="19"/>
      <c r="G41" s="13">
        <f t="shared" si="2"/>
        <v>0</v>
      </c>
      <c r="H41" s="13">
        <f t="shared" si="3"/>
        <v>0</v>
      </c>
      <c r="I41" s="13">
        <f t="shared" si="4"/>
        <v>0</v>
      </c>
      <c r="J41" s="12"/>
      <c r="K41" s="18" t="str">
        <f>IFERROR(VLOOKUP(A41,Proveedores!B39:H252,3,0), "")</f>
        <v/>
      </c>
    </row>
    <row r="42" ht="21.75" customHeight="1">
      <c r="A42" s="16" t="str">
        <f>Productos!B40</f>
        <v/>
      </c>
      <c r="B42" s="16" t="str">
        <f>Productos!C40</f>
        <v/>
      </c>
      <c r="C42" s="16" t="str">
        <f>Productos!E40</f>
        <v/>
      </c>
      <c r="D42" s="13" t="str">
        <f>Productos!F40</f>
        <v/>
      </c>
      <c r="E42" s="13" t="str">
        <f>Productos!G40</f>
        <v/>
      </c>
      <c r="F42" s="19"/>
      <c r="G42" s="13">
        <f t="shared" si="2"/>
        <v>0</v>
      </c>
      <c r="H42" s="13">
        <f t="shared" si="3"/>
        <v>0</v>
      </c>
      <c r="I42" s="13">
        <f t="shared" si="4"/>
        <v>0</v>
      </c>
      <c r="J42" s="12"/>
      <c r="K42" s="18" t="str">
        <f>IFERROR(VLOOKUP(A42,Proveedores!B40:H253,3,0), "")</f>
        <v/>
      </c>
    </row>
    <row r="43" ht="21.75" customHeight="1">
      <c r="A43" s="16" t="str">
        <f>Productos!B41</f>
        <v/>
      </c>
      <c r="B43" s="16" t="str">
        <f>Productos!C41</f>
        <v/>
      </c>
      <c r="C43" s="16" t="str">
        <f>Productos!E41</f>
        <v/>
      </c>
      <c r="D43" s="13" t="str">
        <f>Productos!F41</f>
        <v/>
      </c>
      <c r="E43" s="13" t="str">
        <f>Productos!G41</f>
        <v/>
      </c>
      <c r="F43" s="19"/>
      <c r="G43" s="13">
        <f t="shared" si="2"/>
        <v>0</v>
      </c>
      <c r="H43" s="13">
        <f t="shared" si="3"/>
        <v>0</v>
      </c>
      <c r="I43" s="13">
        <f t="shared" si="4"/>
        <v>0</v>
      </c>
      <c r="J43" s="12"/>
      <c r="K43" s="18" t="str">
        <f>IFERROR(VLOOKUP(A43,Proveedores!B41:H254,3,0), "")</f>
        <v/>
      </c>
    </row>
    <row r="44" ht="21.75" customHeight="1">
      <c r="A44" s="16" t="str">
        <f>Productos!B42</f>
        <v/>
      </c>
      <c r="B44" s="16" t="str">
        <f>Productos!C42</f>
        <v/>
      </c>
      <c r="C44" s="16" t="str">
        <f>Productos!E42</f>
        <v/>
      </c>
      <c r="D44" s="13" t="str">
        <f>Productos!F42</f>
        <v/>
      </c>
      <c r="E44" s="13" t="str">
        <f>Productos!G42</f>
        <v/>
      </c>
      <c r="F44" s="19"/>
      <c r="G44" s="13">
        <f t="shared" si="2"/>
        <v>0</v>
      </c>
      <c r="H44" s="13">
        <f t="shared" si="3"/>
        <v>0</v>
      </c>
      <c r="I44" s="13">
        <f t="shared" si="4"/>
        <v>0</v>
      </c>
      <c r="J44" s="12"/>
      <c r="K44" s="18" t="str">
        <f>IFERROR(VLOOKUP(A44,Proveedores!B42:H255,3,0), "")</f>
        <v/>
      </c>
    </row>
    <row r="45" ht="21.75" customHeight="1">
      <c r="A45" s="16" t="str">
        <f>Productos!B43</f>
        <v/>
      </c>
      <c r="B45" s="16" t="str">
        <f>Productos!C43</f>
        <v/>
      </c>
      <c r="C45" s="16" t="str">
        <f>Productos!E43</f>
        <v/>
      </c>
      <c r="D45" s="13" t="str">
        <f>Productos!F43</f>
        <v/>
      </c>
      <c r="E45" s="13" t="str">
        <f>Productos!G43</f>
        <v/>
      </c>
      <c r="F45" s="19"/>
      <c r="G45" s="13">
        <f t="shared" si="2"/>
        <v>0</v>
      </c>
      <c r="H45" s="13">
        <f t="shared" si="3"/>
        <v>0</v>
      </c>
      <c r="I45" s="13">
        <f t="shared" si="4"/>
        <v>0</v>
      </c>
      <c r="J45" s="12"/>
      <c r="K45" s="18" t="str">
        <f>IFERROR(VLOOKUP(A45,Proveedores!B43:H256,3,0), "")</f>
        <v/>
      </c>
    </row>
    <row r="46" ht="21.75" customHeight="1">
      <c r="A46" s="16" t="str">
        <f>Productos!B44</f>
        <v/>
      </c>
      <c r="B46" s="16" t="str">
        <f>Productos!C44</f>
        <v/>
      </c>
      <c r="C46" s="16" t="str">
        <f>Productos!E44</f>
        <v/>
      </c>
      <c r="D46" s="13" t="str">
        <f>Productos!F44</f>
        <v/>
      </c>
      <c r="E46" s="13" t="str">
        <f>Productos!G44</f>
        <v/>
      </c>
      <c r="F46" s="19"/>
      <c r="G46" s="13">
        <f t="shared" si="2"/>
        <v>0</v>
      </c>
      <c r="H46" s="13">
        <f t="shared" si="3"/>
        <v>0</v>
      </c>
      <c r="I46" s="13">
        <f t="shared" si="4"/>
        <v>0</v>
      </c>
      <c r="J46" s="12"/>
      <c r="K46" s="18" t="str">
        <f>IFERROR(VLOOKUP(A46,Proveedores!B44:H257,3,0), "")</f>
        <v/>
      </c>
    </row>
    <row r="47" ht="21.75" customHeight="1">
      <c r="A47" s="16" t="str">
        <f>Productos!B45</f>
        <v/>
      </c>
      <c r="B47" s="16" t="str">
        <f>Productos!C45</f>
        <v/>
      </c>
      <c r="C47" s="16" t="str">
        <f>Productos!E45</f>
        <v/>
      </c>
      <c r="D47" s="13" t="str">
        <f>Productos!F45</f>
        <v/>
      </c>
      <c r="E47" s="13" t="str">
        <f>Productos!G45</f>
        <v/>
      </c>
      <c r="F47" s="19"/>
      <c r="G47" s="13">
        <f t="shared" si="2"/>
        <v>0</v>
      </c>
      <c r="H47" s="13">
        <f t="shared" si="3"/>
        <v>0</v>
      </c>
      <c r="I47" s="13">
        <f t="shared" si="4"/>
        <v>0</v>
      </c>
      <c r="J47" s="12"/>
      <c r="K47" s="18" t="str">
        <f>IFERROR(VLOOKUP(A47,Proveedores!B45:H258,3,0), "")</f>
        <v/>
      </c>
    </row>
    <row r="48" ht="21.75" customHeight="1">
      <c r="A48" s="16" t="str">
        <f>Productos!B46</f>
        <v/>
      </c>
      <c r="B48" s="16" t="str">
        <f>Productos!C46</f>
        <v/>
      </c>
      <c r="C48" s="16" t="str">
        <f>Productos!E46</f>
        <v/>
      </c>
      <c r="D48" s="13" t="str">
        <f>Productos!F46</f>
        <v/>
      </c>
      <c r="E48" s="13" t="str">
        <f>Productos!G46</f>
        <v/>
      </c>
      <c r="F48" s="19"/>
      <c r="G48" s="13">
        <f t="shared" si="2"/>
        <v>0</v>
      </c>
      <c r="H48" s="13">
        <f t="shared" si="3"/>
        <v>0</v>
      </c>
      <c r="I48" s="13">
        <f t="shared" si="4"/>
        <v>0</v>
      </c>
      <c r="J48" s="12"/>
      <c r="K48" s="18" t="str">
        <f>IFERROR(VLOOKUP(A48,Proveedores!B46:H259,3,0), "")</f>
        <v/>
      </c>
    </row>
    <row r="49" ht="21.75" customHeight="1">
      <c r="A49" s="16" t="str">
        <f>Productos!B47</f>
        <v/>
      </c>
      <c r="B49" s="16" t="str">
        <f>Productos!C47</f>
        <v/>
      </c>
      <c r="C49" s="16" t="str">
        <f>Productos!E47</f>
        <v/>
      </c>
      <c r="D49" s="13" t="str">
        <f>Productos!F47</f>
        <v/>
      </c>
      <c r="E49" s="13" t="str">
        <f>Productos!G47</f>
        <v/>
      </c>
      <c r="F49" s="19"/>
      <c r="G49" s="13">
        <f t="shared" si="2"/>
        <v>0</v>
      </c>
      <c r="H49" s="13">
        <f t="shared" si="3"/>
        <v>0</v>
      </c>
      <c r="I49" s="13">
        <f t="shared" si="4"/>
        <v>0</v>
      </c>
      <c r="J49" s="12"/>
      <c r="K49" s="18" t="str">
        <f>IFERROR(VLOOKUP(A49,Proveedores!B47:H260,3,0), "")</f>
        <v/>
      </c>
    </row>
    <row r="50" ht="21.75" customHeight="1">
      <c r="A50" s="16" t="str">
        <f>Productos!B48</f>
        <v/>
      </c>
      <c r="B50" s="16" t="str">
        <f>Productos!C48</f>
        <v/>
      </c>
      <c r="C50" s="16" t="str">
        <f>Productos!E48</f>
        <v/>
      </c>
      <c r="D50" s="13" t="str">
        <f>Productos!F48</f>
        <v/>
      </c>
      <c r="E50" s="13" t="str">
        <f>Productos!G48</f>
        <v/>
      </c>
      <c r="F50" s="19"/>
      <c r="G50" s="13">
        <f t="shared" si="2"/>
        <v>0</v>
      </c>
      <c r="H50" s="13">
        <f t="shared" si="3"/>
        <v>0</v>
      </c>
      <c r="I50" s="13">
        <f t="shared" si="4"/>
        <v>0</v>
      </c>
      <c r="J50" s="12"/>
      <c r="K50" s="18" t="str">
        <f>IFERROR(VLOOKUP(A50,Proveedores!B48:H261,3,0), "")</f>
        <v/>
      </c>
    </row>
    <row r="51" ht="21.75" customHeight="1">
      <c r="A51" s="16" t="str">
        <f>Productos!B49</f>
        <v/>
      </c>
      <c r="B51" s="16" t="str">
        <f>Productos!C49</f>
        <v/>
      </c>
      <c r="C51" s="16" t="str">
        <f>Productos!E49</f>
        <v/>
      </c>
      <c r="D51" s="13" t="str">
        <f>Productos!F49</f>
        <v/>
      </c>
      <c r="E51" s="13" t="str">
        <f>Productos!G49</f>
        <v/>
      </c>
      <c r="F51" s="19"/>
      <c r="G51" s="13">
        <f t="shared" si="2"/>
        <v>0</v>
      </c>
      <c r="H51" s="13">
        <f t="shared" si="3"/>
        <v>0</v>
      </c>
      <c r="I51" s="13">
        <f t="shared" si="4"/>
        <v>0</v>
      </c>
      <c r="J51" s="12"/>
      <c r="K51" s="18" t="str">
        <f>IFERROR(VLOOKUP(A51,Proveedores!B49:H262,3,0), "")</f>
        <v/>
      </c>
    </row>
    <row r="52" ht="21.75" customHeight="1">
      <c r="A52" s="16" t="str">
        <f>Productos!B50</f>
        <v/>
      </c>
      <c r="B52" s="16" t="str">
        <f>Productos!C50</f>
        <v/>
      </c>
      <c r="C52" s="16" t="str">
        <f>Productos!E50</f>
        <v/>
      </c>
      <c r="D52" s="13" t="str">
        <f>Productos!F50</f>
        <v/>
      </c>
      <c r="E52" s="13" t="str">
        <f>Productos!G50</f>
        <v/>
      </c>
      <c r="F52" s="19"/>
      <c r="G52" s="13">
        <f t="shared" si="2"/>
        <v>0</v>
      </c>
      <c r="H52" s="13">
        <f t="shared" si="3"/>
        <v>0</v>
      </c>
      <c r="I52" s="13">
        <f t="shared" si="4"/>
        <v>0</v>
      </c>
      <c r="J52" s="12"/>
      <c r="K52" s="18" t="str">
        <f>IFERROR(VLOOKUP(A52,Proveedores!B50:H263,3,0), "")</f>
        <v/>
      </c>
    </row>
    <row r="53" ht="21.75" customHeight="1">
      <c r="A53" s="16" t="str">
        <f>Productos!B51</f>
        <v/>
      </c>
      <c r="B53" s="16" t="str">
        <f>Productos!C51</f>
        <v/>
      </c>
      <c r="C53" s="16" t="str">
        <f>Productos!E51</f>
        <v/>
      </c>
      <c r="D53" s="13" t="str">
        <f>Productos!F51</f>
        <v/>
      </c>
      <c r="E53" s="13" t="str">
        <f>Productos!G51</f>
        <v/>
      </c>
      <c r="F53" s="19"/>
      <c r="G53" s="13">
        <f t="shared" si="2"/>
        <v>0</v>
      </c>
      <c r="H53" s="13">
        <f t="shared" si="3"/>
        <v>0</v>
      </c>
      <c r="I53" s="13">
        <f t="shared" si="4"/>
        <v>0</v>
      </c>
      <c r="J53" s="12"/>
      <c r="K53" s="18" t="str">
        <f>IFERROR(VLOOKUP(A53,Proveedores!B51:H264,3,0), "")</f>
        <v/>
      </c>
    </row>
    <row r="54" ht="21.75" customHeight="1">
      <c r="A54" s="16" t="str">
        <f>Productos!B52</f>
        <v/>
      </c>
      <c r="B54" s="16" t="str">
        <f>Productos!C52</f>
        <v/>
      </c>
      <c r="C54" s="16" t="str">
        <f>Productos!E52</f>
        <v/>
      </c>
      <c r="D54" s="13" t="str">
        <f>Productos!F52</f>
        <v/>
      </c>
      <c r="E54" s="13" t="str">
        <f>Productos!G52</f>
        <v/>
      </c>
      <c r="F54" s="19"/>
      <c r="G54" s="13">
        <f t="shared" si="2"/>
        <v>0</v>
      </c>
      <c r="H54" s="13">
        <f t="shared" si="3"/>
        <v>0</v>
      </c>
      <c r="I54" s="13">
        <f t="shared" si="4"/>
        <v>0</v>
      </c>
      <c r="J54" s="12"/>
      <c r="K54" s="18" t="str">
        <f>IFERROR(VLOOKUP(A54,Proveedores!B52:H265,3,0), "")</f>
        <v/>
      </c>
    </row>
    <row r="55" ht="21.75" customHeight="1">
      <c r="A55" s="16" t="str">
        <f>Productos!B53</f>
        <v/>
      </c>
      <c r="B55" s="16" t="str">
        <f>Productos!C53</f>
        <v/>
      </c>
      <c r="C55" s="16" t="str">
        <f>Productos!E53</f>
        <v/>
      </c>
      <c r="D55" s="13" t="str">
        <f>Productos!F53</f>
        <v/>
      </c>
      <c r="E55" s="13" t="str">
        <f>Productos!G53</f>
        <v/>
      </c>
      <c r="F55" s="19"/>
      <c r="G55" s="13">
        <f t="shared" si="2"/>
        <v>0</v>
      </c>
      <c r="H55" s="13">
        <f t="shared" si="3"/>
        <v>0</v>
      </c>
      <c r="I55" s="13">
        <f t="shared" si="4"/>
        <v>0</v>
      </c>
      <c r="J55" s="12"/>
      <c r="K55" s="18" t="str">
        <f>IFERROR(VLOOKUP(A55,Proveedores!B53:H266,3,0), "")</f>
        <v/>
      </c>
    </row>
    <row r="56" ht="21.75" customHeight="1">
      <c r="A56" s="16" t="str">
        <f>Productos!B54</f>
        <v/>
      </c>
      <c r="B56" s="16" t="str">
        <f>Productos!C54</f>
        <v/>
      </c>
      <c r="C56" s="16" t="str">
        <f>Productos!E54</f>
        <v/>
      </c>
      <c r="D56" s="13" t="str">
        <f>Productos!F54</f>
        <v/>
      </c>
      <c r="E56" s="13" t="str">
        <f>Productos!G54</f>
        <v/>
      </c>
      <c r="F56" s="19"/>
      <c r="G56" s="13">
        <f t="shared" si="2"/>
        <v>0</v>
      </c>
      <c r="H56" s="13">
        <f t="shared" si="3"/>
        <v>0</v>
      </c>
      <c r="I56" s="13">
        <f t="shared" si="4"/>
        <v>0</v>
      </c>
      <c r="J56" s="12"/>
      <c r="K56" s="18" t="str">
        <f>IFERROR(VLOOKUP(A56,Proveedores!B54:H267,3,0), "")</f>
        <v/>
      </c>
    </row>
    <row r="57" ht="21.75" customHeight="1">
      <c r="A57" s="16" t="str">
        <f>Productos!B55</f>
        <v/>
      </c>
      <c r="B57" s="16" t="str">
        <f>Productos!C55</f>
        <v/>
      </c>
      <c r="C57" s="16" t="str">
        <f>Productos!E55</f>
        <v/>
      </c>
      <c r="D57" s="13" t="str">
        <f>Productos!F55</f>
        <v/>
      </c>
      <c r="E57" s="13" t="str">
        <f>Productos!G55</f>
        <v/>
      </c>
      <c r="F57" s="19"/>
      <c r="G57" s="13">
        <f t="shared" si="2"/>
        <v>0</v>
      </c>
      <c r="H57" s="13">
        <f t="shared" si="3"/>
        <v>0</v>
      </c>
      <c r="I57" s="13">
        <f t="shared" si="4"/>
        <v>0</v>
      </c>
      <c r="J57" s="12"/>
      <c r="K57" s="18" t="str">
        <f>IFERROR(VLOOKUP(A57,Proveedores!B55:H268,3,0), "")</f>
        <v/>
      </c>
    </row>
    <row r="58" ht="21.75" customHeight="1">
      <c r="A58" s="16" t="str">
        <f>Productos!B56</f>
        <v/>
      </c>
      <c r="B58" s="16" t="str">
        <f>Productos!C56</f>
        <v/>
      </c>
      <c r="C58" s="16" t="str">
        <f>Productos!E56</f>
        <v/>
      </c>
      <c r="D58" s="13" t="str">
        <f>Productos!F56</f>
        <v/>
      </c>
      <c r="E58" s="13" t="str">
        <f>Productos!G56</f>
        <v/>
      </c>
      <c r="F58" s="19"/>
      <c r="G58" s="13">
        <f t="shared" si="2"/>
        <v>0</v>
      </c>
      <c r="H58" s="13">
        <f t="shared" si="3"/>
        <v>0</v>
      </c>
      <c r="I58" s="13">
        <f t="shared" si="4"/>
        <v>0</v>
      </c>
      <c r="J58" s="12"/>
      <c r="K58" s="18" t="str">
        <f>IFERROR(VLOOKUP(A58,Proveedores!B56:H269,3,0), "")</f>
        <v/>
      </c>
    </row>
    <row r="59" ht="21.75" customHeight="1">
      <c r="A59" s="16" t="str">
        <f>Productos!B57</f>
        <v/>
      </c>
      <c r="B59" s="16" t="str">
        <f>Productos!C57</f>
        <v/>
      </c>
      <c r="C59" s="16" t="str">
        <f>Productos!E57</f>
        <v/>
      </c>
      <c r="D59" s="13" t="str">
        <f>Productos!F57</f>
        <v/>
      </c>
      <c r="E59" s="13" t="str">
        <f>Productos!G57</f>
        <v/>
      </c>
      <c r="F59" s="19"/>
      <c r="G59" s="13">
        <f t="shared" si="2"/>
        <v>0</v>
      </c>
      <c r="H59" s="13">
        <f t="shared" si="3"/>
        <v>0</v>
      </c>
      <c r="I59" s="13">
        <f t="shared" si="4"/>
        <v>0</v>
      </c>
      <c r="J59" s="12"/>
      <c r="K59" s="18" t="str">
        <f>IFERROR(VLOOKUP(A59,Proveedores!B57:H270,3,0), "")</f>
        <v/>
      </c>
    </row>
    <row r="60" ht="21.75" customHeight="1">
      <c r="A60" s="16" t="str">
        <f>Productos!B58</f>
        <v/>
      </c>
      <c r="B60" s="16" t="str">
        <f>Productos!C58</f>
        <v/>
      </c>
      <c r="C60" s="16" t="str">
        <f>Productos!E58</f>
        <v/>
      </c>
      <c r="D60" s="13" t="str">
        <f>Productos!F58</f>
        <v/>
      </c>
      <c r="E60" s="13" t="str">
        <f>Productos!G58</f>
        <v/>
      </c>
      <c r="F60" s="19"/>
      <c r="G60" s="13">
        <f t="shared" si="2"/>
        <v>0</v>
      </c>
      <c r="H60" s="13">
        <f t="shared" si="3"/>
        <v>0</v>
      </c>
      <c r="I60" s="13">
        <f t="shared" si="4"/>
        <v>0</v>
      </c>
      <c r="J60" s="12"/>
      <c r="K60" s="18" t="str">
        <f>IFERROR(VLOOKUP(A60,Proveedores!B58:H271,3,0), "")</f>
        <v/>
      </c>
    </row>
    <row r="61" ht="21.75" customHeight="1">
      <c r="A61" s="16" t="str">
        <f>Productos!B59</f>
        <v/>
      </c>
      <c r="B61" s="16" t="str">
        <f>Productos!C59</f>
        <v/>
      </c>
      <c r="C61" s="16" t="str">
        <f>Productos!E59</f>
        <v/>
      </c>
      <c r="D61" s="13" t="str">
        <f>Productos!F59</f>
        <v/>
      </c>
      <c r="E61" s="13" t="str">
        <f>Productos!G59</f>
        <v/>
      </c>
      <c r="F61" s="19"/>
      <c r="G61" s="13">
        <f t="shared" si="2"/>
        <v>0</v>
      </c>
      <c r="H61" s="13">
        <f t="shared" si="3"/>
        <v>0</v>
      </c>
      <c r="I61" s="13">
        <f t="shared" si="4"/>
        <v>0</v>
      </c>
      <c r="J61" s="12"/>
      <c r="K61" s="18" t="str">
        <f>IFERROR(VLOOKUP(A61,Proveedores!B59:H272,3,0), "")</f>
        <v/>
      </c>
    </row>
    <row r="62" ht="21.75" customHeight="1">
      <c r="A62" s="16" t="str">
        <f>Productos!B60</f>
        <v/>
      </c>
      <c r="B62" s="16" t="str">
        <f>Productos!C60</f>
        <v/>
      </c>
      <c r="C62" s="16" t="str">
        <f>Productos!E60</f>
        <v/>
      </c>
      <c r="D62" s="13" t="str">
        <f>Productos!F60</f>
        <v/>
      </c>
      <c r="E62" s="13" t="str">
        <f>Productos!G60</f>
        <v/>
      </c>
      <c r="F62" s="19"/>
      <c r="G62" s="13">
        <f t="shared" si="2"/>
        <v>0</v>
      </c>
      <c r="H62" s="13">
        <f t="shared" si="3"/>
        <v>0</v>
      </c>
      <c r="I62" s="13">
        <f t="shared" si="4"/>
        <v>0</v>
      </c>
      <c r="J62" s="12"/>
      <c r="K62" s="18" t="str">
        <f>IFERROR(VLOOKUP(A62,Proveedores!B60:H273,3,0), "")</f>
        <v/>
      </c>
    </row>
    <row r="63" ht="21.75" customHeight="1">
      <c r="A63" s="16" t="str">
        <f>Productos!B61</f>
        <v/>
      </c>
      <c r="B63" s="16" t="str">
        <f>Productos!C61</f>
        <v/>
      </c>
      <c r="C63" s="16" t="str">
        <f>Productos!E61</f>
        <v/>
      </c>
      <c r="D63" s="13" t="str">
        <f>Productos!F61</f>
        <v/>
      </c>
      <c r="E63" s="13" t="str">
        <f>Productos!G61</f>
        <v/>
      </c>
      <c r="F63" s="19"/>
      <c r="G63" s="13">
        <f t="shared" si="2"/>
        <v>0</v>
      </c>
      <c r="H63" s="13">
        <f t="shared" si="3"/>
        <v>0</v>
      </c>
      <c r="I63" s="13">
        <f t="shared" si="4"/>
        <v>0</v>
      </c>
      <c r="J63" s="12"/>
      <c r="K63" s="18" t="str">
        <f>IFERROR(VLOOKUP(A63,Proveedores!B61:H274,3,0), "")</f>
        <v/>
      </c>
    </row>
    <row r="64" ht="21.75" customHeight="1">
      <c r="A64" s="16" t="str">
        <f>Productos!B62</f>
        <v/>
      </c>
      <c r="B64" s="16" t="str">
        <f>Productos!C62</f>
        <v/>
      </c>
      <c r="C64" s="16" t="str">
        <f>Productos!E62</f>
        <v/>
      </c>
      <c r="D64" s="13" t="str">
        <f>Productos!F62</f>
        <v/>
      </c>
      <c r="E64" s="13" t="str">
        <f>Productos!G62</f>
        <v/>
      </c>
      <c r="F64" s="19"/>
      <c r="G64" s="13">
        <f t="shared" si="2"/>
        <v>0</v>
      </c>
      <c r="H64" s="13">
        <f t="shared" si="3"/>
        <v>0</v>
      </c>
      <c r="I64" s="13">
        <f t="shared" si="4"/>
        <v>0</v>
      </c>
      <c r="J64" s="12"/>
      <c r="K64" s="18" t="str">
        <f>IFERROR(VLOOKUP(A64,Proveedores!B62:H275,3,0), "")</f>
        <v/>
      </c>
    </row>
    <row r="65" ht="21.75" customHeight="1">
      <c r="A65" s="16" t="str">
        <f>Productos!B63</f>
        <v/>
      </c>
      <c r="B65" s="16" t="str">
        <f>Productos!C63</f>
        <v/>
      </c>
      <c r="C65" s="16" t="str">
        <f>Productos!E63</f>
        <v/>
      </c>
      <c r="D65" s="13" t="str">
        <f>Productos!F63</f>
        <v/>
      </c>
      <c r="E65" s="13" t="str">
        <f>Productos!G63</f>
        <v/>
      </c>
      <c r="F65" s="19"/>
      <c r="G65" s="13">
        <f t="shared" si="2"/>
        <v>0</v>
      </c>
      <c r="H65" s="13">
        <f t="shared" si="3"/>
        <v>0</v>
      </c>
      <c r="I65" s="13">
        <f t="shared" si="4"/>
        <v>0</v>
      </c>
      <c r="J65" s="12"/>
      <c r="K65" s="18" t="str">
        <f>IFERROR(VLOOKUP(A65,Proveedores!B63:H276,3,0), "")</f>
        <v/>
      </c>
    </row>
    <row r="66" ht="21.75" customHeight="1">
      <c r="A66" s="16" t="str">
        <f>Productos!B64</f>
        <v/>
      </c>
      <c r="B66" s="16" t="str">
        <f>Productos!C64</f>
        <v/>
      </c>
      <c r="C66" s="16" t="str">
        <f>Productos!E64</f>
        <v/>
      </c>
      <c r="D66" s="13" t="str">
        <f>Productos!F64</f>
        <v/>
      </c>
      <c r="E66" s="13" t="str">
        <f>Productos!G64</f>
        <v/>
      </c>
      <c r="F66" s="19"/>
      <c r="G66" s="13">
        <f t="shared" si="2"/>
        <v>0</v>
      </c>
      <c r="H66" s="13">
        <f t="shared" si="3"/>
        <v>0</v>
      </c>
      <c r="I66" s="13">
        <f t="shared" si="4"/>
        <v>0</v>
      </c>
      <c r="J66" s="12"/>
      <c r="K66" s="18" t="str">
        <f>IFERROR(VLOOKUP(A66,Proveedores!B64:H277,3,0), "")</f>
        <v/>
      </c>
    </row>
    <row r="67" ht="21.75" customHeight="1">
      <c r="A67" s="16" t="str">
        <f>Productos!B65</f>
        <v/>
      </c>
      <c r="B67" s="16" t="str">
        <f>Productos!C65</f>
        <v/>
      </c>
      <c r="C67" s="16" t="str">
        <f>Productos!E65</f>
        <v/>
      </c>
      <c r="D67" s="13" t="str">
        <f>Productos!F65</f>
        <v/>
      </c>
      <c r="E67" s="13" t="str">
        <f>Productos!G65</f>
        <v/>
      </c>
      <c r="F67" s="19"/>
      <c r="G67" s="13">
        <f t="shared" si="2"/>
        <v>0</v>
      </c>
      <c r="H67" s="13">
        <f t="shared" si="3"/>
        <v>0</v>
      </c>
      <c r="I67" s="13">
        <f t="shared" si="4"/>
        <v>0</v>
      </c>
      <c r="J67" s="12"/>
      <c r="K67" s="18" t="str">
        <f>IFERROR(VLOOKUP(A67,Proveedores!B65:H278,3,0), "")</f>
        <v/>
      </c>
    </row>
    <row r="68" ht="21.75" customHeight="1">
      <c r="A68" s="16" t="str">
        <f>Productos!B66</f>
        <v/>
      </c>
      <c r="B68" s="16" t="str">
        <f>Productos!C66</f>
        <v/>
      </c>
      <c r="C68" s="16" t="str">
        <f>Productos!E66</f>
        <v/>
      </c>
      <c r="D68" s="13" t="str">
        <f>Productos!F66</f>
        <v/>
      </c>
      <c r="E68" s="13" t="str">
        <f>Productos!G66</f>
        <v/>
      </c>
      <c r="F68" s="19"/>
      <c r="G68" s="13">
        <f t="shared" si="2"/>
        <v>0</v>
      </c>
      <c r="H68" s="13">
        <f t="shared" si="3"/>
        <v>0</v>
      </c>
      <c r="I68" s="13">
        <f t="shared" si="4"/>
        <v>0</v>
      </c>
      <c r="J68" s="12"/>
      <c r="K68" s="18" t="str">
        <f>IFERROR(VLOOKUP(A68,Proveedores!B66:H279,3,0), "")</f>
        <v/>
      </c>
    </row>
    <row r="69" ht="21.75" customHeight="1">
      <c r="A69" s="16" t="str">
        <f>Productos!B67</f>
        <v/>
      </c>
      <c r="B69" s="16" t="str">
        <f>Productos!C67</f>
        <v/>
      </c>
      <c r="C69" s="16" t="str">
        <f>Productos!E67</f>
        <v/>
      </c>
      <c r="D69" s="13" t="str">
        <f>Productos!F67</f>
        <v/>
      </c>
      <c r="E69" s="13" t="str">
        <f>Productos!G67</f>
        <v/>
      </c>
      <c r="F69" s="19"/>
      <c r="G69" s="13">
        <f t="shared" si="2"/>
        <v>0</v>
      </c>
      <c r="H69" s="13">
        <f t="shared" si="3"/>
        <v>0</v>
      </c>
      <c r="I69" s="13">
        <f t="shared" si="4"/>
        <v>0</v>
      </c>
      <c r="J69" s="12"/>
      <c r="K69" s="18" t="str">
        <f>IFERROR(VLOOKUP(A69,Proveedores!B67:H280,3,0), "")</f>
        <v/>
      </c>
    </row>
    <row r="70" ht="21.75" customHeight="1">
      <c r="A70" s="16" t="str">
        <f>Productos!B68</f>
        <v/>
      </c>
      <c r="B70" s="16" t="str">
        <f>Productos!C68</f>
        <v/>
      </c>
      <c r="C70" s="16" t="str">
        <f>Productos!E68</f>
        <v/>
      </c>
      <c r="D70" s="13" t="str">
        <f>Productos!F68</f>
        <v/>
      </c>
      <c r="E70" s="13" t="str">
        <f>Productos!G68</f>
        <v/>
      </c>
      <c r="F70" s="19"/>
      <c r="G70" s="13">
        <f t="shared" si="2"/>
        <v>0</v>
      </c>
      <c r="H70" s="13">
        <f t="shared" si="3"/>
        <v>0</v>
      </c>
      <c r="I70" s="13">
        <f t="shared" si="4"/>
        <v>0</v>
      </c>
      <c r="J70" s="12"/>
      <c r="K70" s="18" t="str">
        <f>IFERROR(VLOOKUP(A70,Proveedores!B68:H281,3,0), "")</f>
        <v/>
      </c>
    </row>
    <row r="71" ht="21.75" customHeight="1">
      <c r="A71" s="16" t="str">
        <f>Productos!B69</f>
        <v/>
      </c>
      <c r="B71" s="16" t="str">
        <f>Productos!C69</f>
        <v/>
      </c>
      <c r="C71" s="16" t="str">
        <f>Productos!E69</f>
        <v/>
      </c>
      <c r="D71" s="13" t="str">
        <f>Productos!F69</f>
        <v/>
      </c>
      <c r="E71" s="13" t="str">
        <f>Productos!G69</f>
        <v/>
      </c>
      <c r="F71" s="19"/>
      <c r="G71" s="13">
        <f t="shared" si="2"/>
        <v>0</v>
      </c>
      <c r="H71" s="13">
        <f t="shared" si="3"/>
        <v>0</v>
      </c>
      <c r="I71" s="13">
        <f t="shared" si="4"/>
        <v>0</v>
      </c>
      <c r="J71" s="12"/>
      <c r="K71" s="18" t="str">
        <f>IFERROR(VLOOKUP(A71,Proveedores!B69:H282,3,0), "")</f>
        <v/>
      </c>
    </row>
    <row r="72" ht="21.75" customHeight="1">
      <c r="A72" s="16" t="str">
        <f>Productos!B70</f>
        <v/>
      </c>
      <c r="B72" s="16" t="str">
        <f>Productos!C70</f>
        <v/>
      </c>
      <c r="C72" s="16" t="str">
        <f>Productos!E70</f>
        <v/>
      </c>
      <c r="D72" s="13" t="str">
        <f>Productos!F70</f>
        <v/>
      </c>
      <c r="E72" s="13" t="str">
        <f>Productos!G70</f>
        <v/>
      </c>
      <c r="F72" s="19"/>
      <c r="G72" s="13">
        <f t="shared" si="2"/>
        <v>0</v>
      </c>
      <c r="H72" s="13">
        <f t="shared" si="3"/>
        <v>0</v>
      </c>
      <c r="I72" s="13">
        <f t="shared" si="4"/>
        <v>0</v>
      </c>
      <c r="J72" s="12"/>
      <c r="K72" s="18" t="str">
        <f>IFERROR(VLOOKUP(A72,Proveedores!B70:H283,3,0), "")</f>
        <v/>
      </c>
    </row>
    <row r="73" ht="21.75" customHeight="1">
      <c r="A73" s="16" t="str">
        <f>Productos!B71</f>
        <v/>
      </c>
      <c r="B73" s="16" t="str">
        <f>Productos!C71</f>
        <v/>
      </c>
      <c r="C73" s="16" t="str">
        <f>Productos!E71</f>
        <v/>
      </c>
      <c r="D73" s="13" t="str">
        <f>Productos!F71</f>
        <v/>
      </c>
      <c r="E73" s="13" t="str">
        <f>Productos!G71</f>
        <v/>
      </c>
      <c r="F73" s="19"/>
      <c r="G73" s="13">
        <f t="shared" si="2"/>
        <v>0</v>
      </c>
      <c r="H73" s="13">
        <f t="shared" si="3"/>
        <v>0</v>
      </c>
      <c r="I73" s="13">
        <f t="shared" si="4"/>
        <v>0</v>
      </c>
      <c r="J73" s="12"/>
      <c r="K73" s="18" t="str">
        <f>IFERROR(VLOOKUP(A73,Proveedores!B71:H284,3,0), "")</f>
        <v/>
      </c>
    </row>
    <row r="74" ht="21.75" customHeight="1">
      <c r="A74" s="16" t="str">
        <f>Productos!B72</f>
        <v/>
      </c>
      <c r="B74" s="16" t="str">
        <f>Productos!C72</f>
        <v/>
      </c>
      <c r="C74" s="16" t="str">
        <f>Productos!E72</f>
        <v/>
      </c>
      <c r="D74" s="13" t="str">
        <f>Productos!F72</f>
        <v/>
      </c>
      <c r="E74" s="13" t="str">
        <f>Productos!G72</f>
        <v/>
      </c>
      <c r="F74" s="19"/>
      <c r="G74" s="13">
        <f t="shared" si="2"/>
        <v>0</v>
      </c>
      <c r="H74" s="13">
        <f t="shared" si="3"/>
        <v>0</v>
      </c>
      <c r="I74" s="13">
        <f t="shared" si="4"/>
        <v>0</v>
      </c>
      <c r="J74" s="12"/>
      <c r="K74" s="18" t="str">
        <f>IFERROR(VLOOKUP(A74,Proveedores!B72:H285,3,0), "")</f>
        <v/>
      </c>
    </row>
    <row r="75" ht="21.75" customHeight="1">
      <c r="A75" s="16" t="str">
        <f>Productos!B73</f>
        <v/>
      </c>
      <c r="B75" s="16" t="str">
        <f>Productos!C73</f>
        <v/>
      </c>
      <c r="C75" s="16" t="str">
        <f>Productos!E73</f>
        <v/>
      </c>
      <c r="D75" s="13" t="str">
        <f>Productos!F73</f>
        <v/>
      </c>
      <c r="E75" s="13" t="str">
        <f>Productos!G73</f>
        <v/>
      </c>
      <c r="F75" s="19"/>
      <c r="G75" s="13">
        <f t="shared" si="2"/>
        <v>0</v>
      </c>
      <c r="H75" s="13">
        <f t="shared" si="3"/>
        <v>0</v>
      </c>
      <c r="I75" s="13">
        <f t="shared" si="4"/>
        <v>0</v>
      </c>
      <c r="J75" s="12"/>
      <c r="K75" s="18" t="str">
        <f>IFERROR(VLOOKUP(A75,Proveedores!B73:H286,3,0), "")</f>
        <v/>
      </c>
    </row>
    <row r="76" ht="21.75" customHeight="1">
      <c r="A76" s="16" t="str">
        <f>Productos!B74</f>
        <v/>
      </c>
      <c r="B76" s="16" t="str">
        <f>Productos!C74</f>
        <v/>
      </c>
      <c r="C76" s="16" t="str">
        <f>Productos!E74</f>
        <v/>
      </c>
      <c r="D76" s="13" t="str">
        <f>Productos!F74</f>
        <v/>
      </c>
      <c r="E76" s="13" t="str">
        <f>Productos!G74</f>
        <v/>
      </c>
      <c r="F76" s="19"/>
      <c r="G76" s="13">
        <f t="shared" si="2"/>
        <v>0</v>
      </c>
      <c r="H76" s="13">
        <f t="shared" si="3"/>
        <v>0</v>
      </c>
      <c r="I76" s="13">
        <f t="shared" si="4"/>
        <v>0</v>
      </c>
      <c r="J76" s="12"/>
      <c r="K76" s="18" t="str">
        <f>IFERROR(VLOOKUP(A76,Proveedores!B74:H287,3,0), "")</f>
        <v/>
      </c>
    </row>
    <row r="77" ht="21.75" customHeight="1">
      <c r="A77" s="16" t="str">
        <f>Productos!B75</f>
        <v/>
      </c>
      <c r="B77" s="16" t="str">
        <f>Productos!C75</f>
        <v/>
      </c>
      <c r="C77" s="16" t="str">
        <f>Productos!E75</f>
        <v/>
      </c>
      <c r="D77" s="13" t="str">
        <f>Productos!F75</f>
        <v/>
      </c>
      <c r="E77" s="13" t="str">
        <f>Productos!G75</f>
        <v/>
      </c>
      <c r="F77" s="19"/>
      <c r="G77" s="13">
        <f t="shared" si="2"/>
        <v>0</v>
      </c>
      <c r="H77" s="13">
        <f t="shared" si="3"/>
        <v>0</v>
      </c>
      <c r="I77" s="13">
        <f t="shared" si="4"/>
        <v>0</v>
      </c>
      <c r="J77" s="12"/>
      <c r="K77" s="18" t="str">
        <f>IFERROR(VLOOKUP(A77,Proveedores!B75:H288,3,0), "")</f>
        <v/>
      </c>
    </row>
    <row r="78" ht="21.75" customHeight="1">
      <c r="A78" s="16" t="str">
        <f>Productos!B76</f>
        <v/>
      </c>
      <c r="B78" s="16" t="str">
        <f>Productos!C76</f>
        <v/>
      </c>
      <c r="C78" s="16" t="str">
        <f>Productos!E76</f>
        <v/>
      </c>
      <c r="D78" s="13" t="str">
        <f>Productos!F76</f>
        <v/>
      </c>
      <c r="E78" s="13" t="str">
        <f>Productos!G76</f>
        <v/>
      </c>
      <c r="F78" s="19"/>
      <c r="G78" s="13">
        <f t="shared" si="2"/>
        <v>0</v>
      </c>
      <c r="H78" s="13">
        <f t="shared" si="3"/>
        <v>0</v>
      </c>
      <c r="I78" s="13">
        <f t="shared" si="4"/>
        <v>0</v>
      </c>
      <c r="J78" s="12"/>
      <c r="K78" s="18" t="str">
        <f>IFERROR(VLOOKUP(A78,Proveedores!B76:H289,3,0), "")</f>
        <v/>
      </c>
    </row>
    <row r="79" ht="21.75" customHeight="1">
      <c r="A79" s="16" t="str">
        <f>Productos!B77</f>
        <v/>
      </c>
      <c r="B79" s="16" t="str">
        <f>Productos!C77</f>
        <v/>
      </c>
      <c r="C79" s="16" t="str">
        <f>Productos!E77</f>
        <v/>
      </c>
      <c r="D79" s="13" t="str">
        <f>Productos!F77</f>
        <v/>
      </c>
      <c r="E79" s="13" t="str">
        <f>Productos!G77</f>
        <v/>
      </c>
      <c r="F79" s="19"/>
      <c r="G79" s="13">
        <f t="shared" si="2"/>
        <v>0</v>
      </c>
      <c r="H79" s="13">
        <f t="shared" si="3"/>
        <v>0</v>
      </c>
      <c r="I79" s="13">
        <f t="shared" si="4"/>
        <v>0</v>
      </c>
      <c r="J79" s="12"/>
      <c r="K79" s="18" t="str">
        <f>IFERROR(VLOOKUP(A79,Proveedores!B77:H290,3,0), "")</f>
        <v/>
      </c>
    </row>
    <row r="80" ht="21.75" customHeight="1">
      <c r="A80" s="16" t="str">
        <f>Productos!B78</f>
        <v/>
      </c>
      <c r="B80" s="16" t="str">
        <f>Productos!C78</f>
        <v/>
      </c>
      <c r="C80" s="16" t="str">
        <f>Productos!E78</f>
        <v/>
      </c>
      <c r="D80" s="13" t="str">
        <f>Productos!F78</f>
        <v/>
      </c>
      <c r="E80" s="13" t="str">
        <f>Productos!G78</f>
        <v/>
      </c>
      <c r="F80" s="19"/>
      <c r="G80" s="13">
        <f t="shared" si="2"/>
        <v>0</v>
      </c>
      <c r="H80" s="13">
        <f t="shared" si="3"/>
        <v>0</v>
      </c>
      <c r="I80" s="13">
        <f t="shared" si="4"/>
        <v>0</v>
      </c>
      <c r="J80" s="12"/>
      <c r="K80" s="18" t="str">
        <f>IFERROR(VLOOKUP(A80,Proveedores!B78:H291,3,0), "")</f>
        <v/>
      </c>
    </row>
    <row r="81" ht="21.75" customHeight="1">
      <c r="A81" s="16" t="str">
        <f>Productos!B79</f>
        <v/>
      </c>
      <c r="B81" s="16" t="str">
        <f>Productos!C79</f>
        <v/>
      </c>
      <c r="C81" s="16" t="str">
        <f>Productos!E79</f>
        <v/>
      </c>
      <c r="D81" s="13" t="str">
        <f>Productos!F79</f>
        <v/>
      </c>
      <c r="E81" s="13" t="str">
        <f>Productos!G79</f>
        <v/>
      </c>
      <c r="F81" s="19"/>
      <c r="G81" s="13">
        <f t="shared" si="2"/>
        <v>0</v>
      </c>
      <c r="H81" s="13">
        <f t="shared" si="3"/>
        <v>0</v>
      </c>
      <c r="I81" s="13">
        <f t="shared" si="4"/>
        <v>0</v>
      </c>
      <c r="J81" s="12"/>
      <c r="K81" s="18" t="str">
        <f>IFERROR(VLOOKUP(A81,Proveedores!B79:H292,3,0), "")</f>
        <v/>
      </c>
    </row>
    <row r="82" ht="21.75" customHeight="1">
      <c r="A82" s="16" t="str">
        <f>Productos!B80</f>
        <v/>
      </c>
      <c r="B82" s="16" t="str">
        <f>Productos!C80</f>
        <v/>
      </c>
      <c r="C82" s="16" t="str">
        <f>Productos!E80</f>
        <v/>
      </c>
      <c r="D82" s="13" t="str">
        <f>Productos!F80</f>
        <v/>
      </c>
      <c r="E82" s="13" t="str">
        <f>Productos!G80</f>
        <v/>
      </c>
      <c r="F82" s="19"/>
      <c r="G82" s="13">
        <f t="shared" si="2"/>
        <v>0</v>
      </c>
      <c r="H82" s="13">
        <f t="shared" si="3"/>
        <v>0</v>
      </c>
      <c r="I82" s="13">
        <f t="shared" si="4"/>
        <v>0</v>
      </c>
      <c r="J82" s="12"/>
      <c r="K82" s="18" t="str">
        <f>IFERROR(VLOOKUP(A82,Proveedores!B80:H293,3,0), "")</f>
        <v/>
      </c>
    </row>
    <row r="83" ht="21.75" customHeight="1">
      <c r="A83" s="16" t="str">
        <f>Productos!B81</f>
        <v/>
      </c>
      <c r="B83" s="16" t="str">
        <f>Productos!C81</f>
        <v/>
      </c>
      <c r="C83" s="16" t="str">
        <f>Productos!E81</f>
        <v/>
      </c>
      <c r="D83" s="13" t="str">
        <f>Productos!F81</f>
        <v/>
      </c>
      <c r="E83" s="13" t="str">
        <f>Productos!G81</f>
        <v/>
      </c>
      <c r="F83" s="19"/>
      <c r="G83" s="13">
        <f t="shared" si="2"/>
        <v>0</v>
      </c>
      <c r="H83" s="13">
        <f t="shared" si="3"/>
        <v>0</v>
      </c>
      <c r="I83" s="13">
        <f t="shared" si="4"/>
        <v>0</v>
      </c>
      <c r="J83" s="12"/>
      <c r="K83" s="18" t="str">
        <f>IFERROR(VLOOKUP(A83,Proveedores!B81:H294,3,0), "")</f>
        <v/>
      </c>
    </row>
    <row r="84" ht="21.75" customHeight="1">
      <c r="A84" s="16" t="str">
        <f>Productos!B82</f>
        <v/>
      </c>
      <c r="B84" s="16" t="str">
        <f>Productos!C82</f>
        <v/>
      </c>
      <c r="C84" s="16" t="str">
        <f>Productos!E82</f>
        <v/>
      </c>
      <c r="D84" s="13" t="str">
        <f>Productos!F82</f>
        <v/>
      </c>
      <c r="E84" s="13" t="str">
        <f>Productos!G82</f>
        <v/>
      </c>
      <c r="F84" s="19"/>
      <c r="G84" s="13">
        <f t="shared" si="2"/>
        <v>0</v>
      </c>
      <c r="H84" s="13">
        <f t="shared" si="3"/>
        <v>0</v>
      </c>
      <c r="I84" s="13">
        <f t="shared" si="4"/>
        <v>0</v>
      </c>
      <c r="J84" s="12"/>
      <c r="K84" s="18" t="str">
        <f>IFERROR(VLOOKUP(A84,Proveedores!B82:H295,3,0), "")</f>
        <v/>
      </c>
    </row>
    <row r="85" ht="21.75" customHeight="1">
      <c r="A85" s="16" t="str">
        <f>Productos!B83</f>
        <v/>
      </c>
      <c r="B85" s="16" t="str">
        <f>Productos!C83</f>
        <v/>
      </c>
      <c r="C85" s="16" t="str">
        <f>Productos!E83</f>
        <v/>
      </c>
      <c r="D85" s="13" t="str">
        <f>Productos!F83</f>
        <v/>
      </c>
      <c r="E85" s="13" t="str">
        <f>Productos!G83</f>
        <v/>
      </c>
      <c r="F85" s="19"/>
      <c r="G85" s="13">
        <f t="shared" si="2"/>
        <v>0</v>
      </c>
      <c r="H85" s="13">
        <f t="shared" si="3"/>
        <v>0</v>
      </c>
      <c r="I85" s="13">
        <f t="shared" si="4"/>
        <v>0</v>
      </c>
      <c r="J85" s="12"/>
      <c r="K85" s="18" t="str">
        <f>IFERROR(VLOOKUP(A85,Proveedores!B83:H296,3,0), "")</f>
        <v/>
      </c>
    </row>
    <row r="86" ht="21.75" customHeight="1">
      <c r="A86" s="16" t="str">
        <f>Productos!B84</f>
        <v/>
      </c>
      <c r="B86" s="16" t="str">
        <f>Productos!C84</f>
        <v/>
      </c>
      <c r="C86" s="16" t="str">
        <f>Productos!E84</f>
        <v/>
      </c>
      <c r="D86" s="13" t="str">
        <f>Productos!F84</f>
        <v/>
      </c>
      <c r="E86" s="13" t="str">
        <f>Productos!G84</f>
        <v/>
      </c>
      <c r="F86" s="19"/>
      <c r="G86" s="13">
        <f t="shared" si="2"/>
        <v>0</v>
      </c>
      <c r="H86" s="13">
        <f t="shared" si="3"/>
        <v>0</v>
      </c>
      <c r="I86" s="13">
        <f t="shared" si="4"/>
        <v>0</v>
      </c>
      <c r="J86" s="12"/>
      <c r="K86" s="18" t="str">
        <f>IFERROR(VLOOKUP(A86,Proveedores!B84:H297,3,0), "")</f>
        <v/>
      </c>
    </row>
    <row r="87" ht="21.75" customHeight="1">
      <c r="A87" s="16" t="str">
        <f>Productos!B85</f>
        <v/>
      </c>
      <c r="B87" s="16" t="str">
        <f>Productos!C85</f>
        <v/>
      </c>
      <c r="C87" s="16" t="str">
        <f>Productos!E85</f>
        <v/>
      </c>
      <c r="D87" s="13" t="str">
        <f>Productos!F85</f>
        <v/>
      </c>
      <c r="E87" s="13" t="str">
        <f>Productos!G85</f>
        <v/>
      </c>
      <c r="F87" s="19"/>
      <c r="G87" s="13">
        <f t="shared" si="2"/>
        <v>0</v>
      </c>
      <c r="H87" s="13">
        <f t="shared" si="3"/>
        <v>0</v>
      </c>
      <c r="I87" s="13">
        <f t="shared" si="4"/>
        <v>0</v>
      </c>
      <c r="J87" s="12"/>
      <c r="K87" s="18" t="str">
        <f>IFERROR(VLOOKUP(A87,Proveedores!B85:H298,3,0), "")</f>
        <v/>
      </c>
    </row>
    <row r="88" ht="21.75" customHeight="1">
      <c r="A88" s="16" t="str">
        <f>Productos!B86</f>
        <v/>
      </c>
      <c r="B88" s="16" t="str">
        <f>Productos!C86</f>
        <v/>
      </c>
      <c r="C88" s="16" t="str">
        <f>Productos!E86</f>
        <v/>
      </c>
      <c r="D88" s="13" t="str">
        <f>Productos!F86</f>
        <v/>
      </c>
      <c r="E88" s="13" t="str">
        <f>Productos!G86</f>
        <v/>
      </c>
      <c r="F88" s="19"/>
      <c r="G88" s="13">
        <f t="shared" si="2"/>
        <v>0</v>
      </c>
      <c r="H88" s="13">
        <f t="shared" si="3"/>
        <v>0</v>
      </c>
      <c r="I88" s="13">
        <f t="shared" si="4"/>
        <v>0</v>
      </c>
      <c r="J88" s="12"/>
      <c r="K88" s="18" t="str">
        <f>IFERROR(VLOOKUP(A88,Proveedores!B86:H299,3,0), "")</f>
        <v/>
      </c>
    </row>
    <row r="89" ht="21.75" customHeight="1">
      <c r="A89" s="16" t="str">
        <f>Productos!B87</f>
        <v/>
      </c>
      <c r="B89" s="16" t="str">
        <f>Productos!C87</f>
        <v/>
      </c>
      <c r="C89" s="16" t="str">
        <f>Productos!E87</f>
        <v/>
      </c>
      <c r="D89" s="13" t="str">
        <f>Productos!F87</f>
        <v/>
      </c>
      <c r="E89" s="13" t="str">
        <f>Productos!G87</f>
        <v/>
      </c>
      <c r="F89" s="19"/>
      <c r="G89" s="13">
        <f t="shared" si="2"/>
        <v>0</v>
      </c>
      <c r="H89" s="13">
        <f t="shared" si="3"/>
        <v>0</v>
      </c>
      <c r="I89" s="13">
        <f t="shared" si="4"/>
        <v>0</v>
      </c>
      <c r="J89" s="12"/>
      <c r="K89" s="18" t="str">
        <f>IFERROR(VLOOKUP(A89,Proveedores!B87:H300,3,0), "")</f>
        <v/>
      </c>
    </row>
    <row r="90" ht="21.75" customHeight="1">
      <c r="A90" s="16" t="str">
        <f>Productos!B88</f>
        <v/>
      </c>
      <c r="B90" s="16" t="str">
        <f>Productos!C88</f>
        <v/>
      </c>
      <c r="C90" s="16" t="str">
        <f>Productos!E88</f>
        <v/>
      </c>
      <c r="D90" s="13" t="str">
        <f>Productos!F88</f>
        <v/>
      </c>
      <c r="E90" s="13" t="str">
        <f>Productos!G88</f>
        <v/>
      </c>
      <c r="F90" s="19"/>
      <c r="G90" s="13">
        <f t="shared" si="2"/>
        <v>0</v>
      </c>
      <c r="H90" s="13">
        <f t="shared" si="3"/>
        <v>0</v>
      </c>
      <c r="I90" s="13">
        <f t="shared" si="4"/>
        <v>0</v>
      </c>
      <c r="J90" s="12"/>
      <c r="K90" s="18" t="str">
        <f>IFERROR(VLOOKUP(A90,Proveedores!B88:H301,3,0), "")</f>
        <v/>
      </c>
    </row>
    <row r="91" ht="21.75" customHeight="1">
      <c r="A91" s="16" t="str">
        <f>Productos!B89</f>
        <v/>
      </c>
      <c r="B91" s="16" t="str">
        <f>Productos!C89</f>
        <v/>
      </c>
      <c r="C91" s="16" t="str">
        <f>Productos!E89</f>
        <v/>
      </c>
      <c r="D91" s="13" t="str">
        <f>Productos!F89</f>
        <v/>
      </c>
      <c r="E91" s="13" t="str">
        <f>Productos!G89</f>
        <v/>
      </c>
      <c r="F91" s="19"/>
      <c r="G91" s="13">
        <f t="shared" si="2"/>
        <v>0</v>
      </c>
      <c r="H91" s="13">
        <f t="shared" si="3"/>
        <v>0</v>
      </c>
      <c r="I91" s="13">
        <f t="shared" si="4"/>
        <v>0</v>
      </c>
      <c r="J91" s="12"/>
      <c r="K91" s="18" t="str">
        <f>IFERROR(VLOOKUP(A91,Proveedores!B89:H302,3,0), "")</f>
        <v/>
      </c>
    </row>
    <row r="92" ht="21.75" customHeight="1">
      <c r="A92" s="16" t="str">
        <f>Productos!B90</f>
        <v/>
      </c>
      <c r="B92" s="16" t="str">
        <f>Productos!C90</f>
        <v/>
      </c>
      <c r="C92" s="16" t="str">
        <f>Productos!E90</f>
        <v/>
      </c>
      <c r="D92" s="13" t="str">
        <f>Productos!F90</f>
        <v/>
      </c>
      <c r="E92" s="13" t="str">
        <f>Productos!G90</f>
        <v/>
      </c>
      <c r="F92" s="19"/>
      <c r="G92" s="13">
        <f t="shared" si="2"/>
        <v>0</v>
      </c>
      <c r="H92" s="13">
        <f t="shared" si="3"/>
        <v>0</v>
      </c>
      <c r="I92" s="13">
        <f t="shared" si="4"/>
        <v>0</v>
      </c>
      <c r="J92" s="12"/>
      <c r="K92" s="18" t="str">
        <f>IFERROR(VLOOKUP(A92,Proveedores!B90:H303,3,0), "")</f>
        <v/>
      </c>
    </row>
    <row r="93" ht="21.75" customHeight="1">
      <c r="A93" s="16" t="str">
        <f>Productos!B91</f>
        <v/>
      </c>
      <c r="B93" s="16" t="str">
        <f>Productos!C91</f>
        <v/>
      </c>
      <c r="C93" s="16" t="str">
        <f>Productos!E91</f>
        <v/>
      </c>
      <c r="D93" s="13" t="str">
        <f>Productos!F91</f>
        <v/>
      </c>
      <c r="E93" s="13" t="str">
        <f>Productos!G91</f>
        <v/>
      </c>
      <c r="F93" s="19"/>
      <c r="G93" s="13">
        <f t="shared" si="2"/>
        <v>0</v>
      </c>
      <c r="H93" s="13">
        <f t="shared" si="3"/>
        <v>0</v>
      </c>
      <c r="I93" s="13">
        <f t="shared" si="4"/>
        <v>0</v>
      </c>
      <c r="J93" s="12"/>
      <c r="K93" s="18" t="str">
        <f>IFERROR(VLOOKUP(A93,Proveedores!B91:H304,3,0), "")</f>
        <v/>
      </c>
    </row>
    <row r="94" ht="21.75" customHeight="1">
      <c r="A94" s="16" t="str">
        <f>Productos!B92</f>
        <v/>
      </c>
      <c r="B94" s="16" t="str">
        <f>Productos!C92</f>
        <v/>
      </c>
      <c r="C94" s="16" t="str">
        <f>Productos!E92</f>
        <v/>
      </c>
      <c r="D94" s="13" t="str">
        <f>Productos!F92</f>
        <v/>
      </c>
      <c r="E94" s="13" t="str">
        <f>Productos!G92</f>
        <v/>
      </c>
      <c r="F94" s="19"/>
      <c r="G94" s="13">
        <f t="shared" si="2"/>
        <v>0</v>
      </c>
      <c r="H94" s="13">
        <f t="shared" si="3"/>
        <v>0</v>
      </c>
      <c r="I94" s="13">
        <f t="shared" si="4"/>
        <v>0</v>
      </c>
      <c r="J94" s="12"/>
      <c r="K94" s="18" t="str">
        <f>IFERROR(VLOOKUP(A94,Proveedores!B92:H305,3,0), "")</f>
        <v/>
      </c>
    </row>
    <row r="95" ht="21.75" customHeight="1">
      <c r="A95" s="16" t="str">
        <f>Productos!B93</f>
        <v/>
      </c>
      <c r="B95" s="16" t="str">
        <f>Productos!C93</f>
        <v/>
      </c>
      <c r="C95" s="16" t="str">
        <f>Productos!E93</f>
        <v/>
      </c>
      <c r="D95" s="13" t="str">
        <f>Productos!F93</f>
        <v/>
      </c>
      <c r="E95" s="13" t="str">
        <f>Productos!G93</f>
        <v/>
      </c>
      <c r="F95" s="19"/>
      <c r="G95" s="13">
        <f t="shared" si="2"/>
        <v>0</v>
      </c>
      <c r="H95" s="13">
        <f t="shared" si="3"/>
        <v>0</v>
      </c>
      <c r="I95" s="13">
        <f t="shared" si="4"/>
        <v>0</v>
      </c>
      <c r="J95" s="12"/>
      <c r="K95" s="18" t="str">
        <f>IFERROR(VLOOKUP(A95,Proveedores!B93:H306,3,0), "")</f>
        <v/>
      </c>
    </row>
    <row r="96" ht="21.75" customHeight="1">
      <c r="A96" s="16" t="str">
        <f>Productos!B94</f>
        <v/>
      </c>
      <c r="B96" s="16" t="str">
        <f>Productos!C94</f>
        <v/>
      </c>
      <c r="C96" s="16" t="str">
        <f>Productos!E94</f>
        <v/>
      </c>
      <c r="D96" s="13" t="str">
        <f>Productos!F94</f>
        <v/>
      </c>
      <c r="E96" s="13" t="str">
        <f>Productos!G94</f>
        <v/>
      </c>
      <c r="F96" s="19"/>
      <c r="G96" s="13">
        <f t="shared" si="2"/>
        <v>0</v>
      </c>
      <c r="H96" s="13">
        <f t="shared" si="3"/>
        <v>0</v>
      </c>
      <c r="I96" s="13">
        <f t="shared" si="4"/>
        <v>0</v>
      </c>
      <c r="J96" s="12"/>
      <c r="K96" s="18" t="str">
        <f>IFERROR(VLOOKUP(A96,Proveedores!B94:H307,3,0), "")</f>
        <v/>
      </c>
    </row>
    <row r="97" ht="21.75" customHeight="1">
      <c r="A97" s="16" t="str">
        <f>Productos!B95</f>
        <v/>
      </c>
      <c r="B97" s="16" t="str">
        <f>Productos!C95</f>
        <v/>
      </c>
      <c r="C97" s="16" t="str">
        <f>Productos!E95</f>
        <v/>
      </c>
      <c r="D97" s="13" t="str">
        <f>Productos!F95</f>
        <v/>
      </c>
      <c r="E97" s="13" t="str">
        <f>Productos!G95</f>
        <v/>
      </c>
      <c r="F97" s="19"/>
      <c r="G97" s="13">
        <f t="shared" si="2"/>
        <v>0</v>
      </c>
      <c r="H97" s="13">
        <f t="shared" si="3"/>
        <v>0</v>
      </c>
      <c r="I97" s="13">
        <f t="shared" si="4"/>
        <v>0</v>
      </c>
      <c r="J97" s="12"/>
      <c r="K97" s="18" t="str">
        <f>IFERROR(VLOOKUP(A97,Proveedores!B95:H308,3,0), "")</f>
        <v/>
      </c>
    </row>
    <row r="98" ht="21.75" customHeight="1">
      <c r="A98" s="16" t="str">
        <f>Productos!B96</f>
        <v/>
      </c>
      <c r="B98" s="16" t="str">
        <f>Productos!C96</f>
        <v/>
      </c>
      <c r="C98" s="16" t="str">
        <f>Productos!E96</f>
        <v/>
      </c>
      <c r="D98" s="13" t="str">
        <f>Productos!F96</f>
        <v/>
      </c>
      <c r="E98" s="13" t="str">
        <f>Productos!G96</f>
        <v/>
      </c>
      <c r="F98" s="19"/>
      <c r="G98" s="13">
        <f t="shared" si="2"/>
        <v>0</v>
      </c>
      <c r="H98" s="13">
        <f t="shared" si="3"/>
        <v>0</v>
      </c>
      <c r="I98" s="13">
        <f t="shared" si="4"/>
        <v>0</v>
      </c>
      <c r="J98" s="12"/>
      <c r="K98" s="18" t="str">
        <f>IFERROR(VLOOKUP(A98,Proveedores!B96:H309,3,0), "")</f>
        <v/>
      </c>
    </row>
    <row r="99" ht="21.75" customHeight="1">
      <c r="A99" s="16" t="str">
        <f>Productos!B97</f>
        <v/>
      </c>
      <c r="B99" s="16" t="str">
        <f>Productos!C97</f>
        <v/>
      </c>
      <c r="C99" s="16" t="str">
        <f>Productos!E97</f>
        <v/>
      </c>
      <c r="D99" s="13" t="str">
        <f>Productos!F97</f>
        <v/>
      </c>
      <c r="E99" s="13" t="str">
        <f>Productos!G97</f>
        <v/>
      </c>
      <c r="F99" s="19"/>
      <c r="G99" s="13">
        <f t="shared" si="2"/>
        <v>0</v>
      </c>
      <c r="H99" s="13">
        <f t="shared" si="3"/>
        <v>0</v>
      </c>
      <c r="I99" s="13">
        <f t="shared" si="4"/>
        <v>0</v>
      </c>
      <c r="J99" s="12"/>
      <c r="K99" s="18" t="str">
        <f>IFERROR(VLOOKUP(A99,Proveedores!B97:H310,3,0), "")</f>
        <v/>
      </c>
    </row>
    <row r="100" ht="21.75" customHeight="1">
      <c r="A100" s="16" t="str">
        <f>Productos!B98</f>
        <v/>
      </c>
      <c r="B100" s="16" t="str">
        <f>Productos!C98</f>
        <v/>
      </c>
      <c r="C100" s="16" t="str">
        <f>Productos!E98</f>
        <v/>
      </c>
      <c r="D100" s="13" t="str">
        <f>Productos!F98</f>
        <v/>
      </c>
      <c r="E100" s="13" t="str">
        <f>Productos!G98</f>
        <v/>
      </c>
      <c r="F100" s="19"/>
      <c r="G100" s="13">
        <f t="shared" si="2"/>
        <v>0</v>
      </c>
      <c r="H100" s="13">
        <f t="shared" si="3"/>
        <v>0</v>
      </c>
      <c r="I100" s="13">
        <f t="shared" si="4"/>
        <v>0</v>
      </c>
      <c r="J100" s="12"/>
      <c r="K100" s="18" t="str">
        <f>IFERROR(VLOOKUP(A100,Proveedores!B98:H311,3,0), "")</f>
        <v/>
      </c>
    </row>
    <row r="101" ht="21.75" customHeight="1">
      <c r="A101" s="16" t="str">
        <f>Productos!B99</f>
        <v/>
      </c>
      <c r="B101" s="16" t="str">
        <f>Productos!C99</f>
        <v/>
      </c>
      <c r="C101" s="16" t="str">
        <f>Productos!E99</f>
        <v/>
      </c>
      <c r="D101" s="13" t="str">
        <f>Productos!F99</f>
        <v/>
      </c>
      <c r="E101" s="13" t="str">
        <f>Productos!G99</f>
        <v/>
      </c>
      <c r="F101" s="19"/>
      <c r="G101" s="13">
        <f t="shared" si="2"/>
        <v>0</v>
      </c>
      <c r="H101" s="13">
        <f t="shared" si="3"/>
        <v>0</v>
      </c>
      <c r="I101" s="13">
        <f t="shared" si="4"/>
        <v>0</v>
      </c>
      <c r="J101" s="12"/>
      <c r="K101" s="18" t="str">
        <f>IFERROR(VLOOKUP(A101,Proveedores!B99:H312,3,0), "")</f>
        <v/>
      </c>
    </row>
    <row r="102" ht="21.75" customHeight="1">
      <c r="A102" s="16" t="str">
        <f>Productos!B100</f>
        <v/>
      </c>
      <c r="B102" s="16" t="str">
        <f>Productos!C100</f>
        <v/>
      </c>
      <c r="C102" s="16" t="str">
        <f>Productos!E100</f>
        <v/>
      </c>
      <c r="D102" s="13" t="str">
        <f>Productos!F100</f>
        <v/>
      </c>
      <c r="E102" s="13" t="str">
        <f>Productos!G100</f>
        <v/>
      </c>
      <c r="F102" s="19"/>
      <c r="G102" s="13">
        <f t="shared" si="2"/>
        <v>0</v>
      </c>
      <c r="H102" s="13">
        <f t="shared" si="3"/>
        <v>0</v>
      </c>
      <c r="I102" s="13">
        <f t="shared" si="4"/>
        <v>0</v>
      </c>
      <c r="J102" s="12"/>
      <c r="K102" s="18" t="str">
        <f>IFERROR(VLOOKUP(A102,Proveedores!B100:H313,3,0), "")</f>
        <v/>
      </c>
    </row>
    <row r="103" ht="21.75" customHeight="1">
      <c r="A103" s="16" t="str">
        <f>Productos!B101</f>
        <v/>
      </c>
      <c r="B103" s="16" t="str">
        <f>Productos!C101</f>
        <v/>
      </c>
      <c r="C103" s="16" t="str">
        <f>Productos!E101</f>
        <v/>
      </c>
      <c r="D103" s="13" t="str">
        <f>Productos!F101</f>
        <v/>
      </c>
      <c r="E103" s="13" t="str">
        <f>Productos!G101</f>
        <v/>
      </c>
      <c r="F103" s="19"/>
      <c r="G103" s="13">
        <f t="shared" si="2"/>
        <v>0</v>
      </c>
      <c r="H103" s="13">
        <f t="shared" si="3"/>
        <v>0</v>
      </c>
      <c r="I103" s="13">
        <f t="shared" si="4"/>
        <v>0</v>
      </c>
      <c r="J103" s="12"/>
      <c r="K103" s="18" t="str">
        <f>IFERROR(VLOOKUP(A103,Proveedores!B101:H314,3,0), "")</f>
        <v/>
      </c>
    </row>
    <row r="104" ht="21.75" customHeight="1">
      <c r="A104" s="16" t="str">
        <f>Productos!B102</f>
        <v/>
      </c>
      <c r="B104" s="16" t="str">
        <f>Productos!C102</f>
        <v/>
      </c>
      <c r="C104" s="16" t="str">
        <f>Productos!E102</f>
        <v/>
      </c>
      <c r="D104" s="13" t="str">
        <f>Productos!F102</f>
        <v/>
      </c>
      <c r="E104" s="13" t="str">
        <f>Productos!G102</f>
        <v/>
      </c>
      <c r="F104" s="19"/>
      <c r="G104" s="13">
        <f t="shared" si="2"/>
        <v>0</v>
      </c>
      <c r="H104" s="13">
        <f t="shared" si="3"/>
        <v>0</v>
      </c>
      <c r="I104" s="13">
        <f t="shared" si="4"/>
        <v>0</v>
      </c>
      <c r="J104" s="12"/>
      <c r="K104" s="18" t="str">
        <f>IFERROR(VLOOKUP(A104,Proveedores!B102:H315,3,0), "")</f>
        <v/>
      </c>
    </row>
    <row r="105" ht="21.75" customHeight="1">
      <c r="A105" s="16" t="str">
        <f>Productos!B103</f>
        <v/>
      </c>
      <c r="B105" s="16" t="str">
        <f>Productos!C103</f>
        <v/>
      </c>
      <c r="C105" s="16" t="str">
        <f>Productos!E103</f>
        <v/>
      </c>
      <c r="D105" s="13" t="str">
        <f>Productos!F103</f>
        <v/>
      </c>
      <c r="E105" s="13" t="str">
        <f>Productos!G103</f>
        <v/>
      </c>
      <c r="F105" s="19"/>
      <c r="G105" s="13">
        <f t="shared" si="2"/>
        <v>0</v>
      </c>
      <c r="H105" s="13">
        <f t="shared" si="3"/>
        <v>0</v>
      </c>
      <c r="I105" s="13">
        <f t="shared" si="4"/>
        <v>0</v>
      </c>
      <c r="J105" s="12"/>
      <c r="K105" s="18" t="str">
        <f>IFERROR(VLOOKUP(A105,Proveedores!B103:H316,3,0), "")</f>
        <v/>
      </c>
    </row>
    <row r="106" ht="21.75" customHeight="1">
      <c r="A106" s="16" t="str">
        <f>Productos!B104</f>
        <v/>
      </c>
      <c r="B106" s="16" t="str">
        <f>Productos!C104</f>
        <v/>
      </c>
      <c r="C106" s="16" t="str">
        <f>Productos!E104</f>
        <v/>
      </c>
      <c r="D106" s="13" t="str">
        <f>Productos!F104</f>
        <v/>
      </c>
      <c r="E106" s="13" t="str">
        <f>Productos!G104</f>
        <v/>
      </c>
      <c r="F106" s="19"/>
      <c r="G106" s="13">
        <f t="shared" si="2"/>
        <v>0</v>
      </c>
      <c r="H106" s="13">
        <f t="shared" si="3"/>
        <v>0</v>
      </c>
      <c r="I106" s="13">
        <f t="shared" si="4"/>
        <v>0</v>
      </c>
      <c r="J106" s="12"/>
      <c r="K106" s="18" t="str">
        <f>IFERROR(VLOOKUP(A106,Proveedores!B104:H317,3,0), "")</f>
        <v/>
      </c>
    </row>
    <row r="107" ht="21.75" customHeight="1">
      <c r="A107" s="16" t="str">
        <f>Productos!B105</f>
        <v/>
      </c>
      <c r="B107" s="16" t="str">
        <f>Productos!C105</f>
        <v/>
      </c>
      <c r="C107" s="16" t="str">
        <f>Productos!E105</f>
        <v/>
      </c>
      <c r="D107" s="13" t="str">
        <f>Productos!F105</f>
        <v/>
      </c>
      <c r="E107" s="13" t="str">
        <f>Productos!G105</f>
        <v/>
      </c>
      <c r="F107" s="19"/>
      <c r="G107" s="13">
        <f t="shared" si="2"/>
        <v>0</v>
      </c>
      <c r="H107" s="13">
        <f t="shared" si="3"/>
        <v>0</v>
      </c>
      <c r="I107" s="13">
        <f t="shared" si="4"/>
        <v>0</v>
      </c>
      <c r="J107" s="12"/>
      <c r="K107" s="18" t="str">
        <f>IFERROR(VLOOKUP(A107,Proveedores!B105:H318,3,0), "")</f>
        <v/>
      </c>
    </row>
    <row r="108" ht="21.75" customHeight="1">
      <c r="A108" s="16" t="str">
        <f>Productos!B106</f>
        <v/>
      </c>
      <c r="B108" s="16" t="str">
        <f>Productos!C106</f>
        <v/>
      </c>
      <c r="C108" s="16" t="str">
        <f>Productos!E106</f>
        <v/>
      </c>
      <c r="D108" s="13" t="str">
        <f>Productos!F106</f>
        <v/>
      </c>
      <c r="E108" s="13" t="str">
        <f>Productos!G106</f>
        <v/>
      </c>
      <c r="F108" s="19"/>
      <c r="G108" s="13">
        <f t="shared" si="2"/>
        <v>0</v>
      </c>
      <c r="H108" s="13">
        <f t="shared" si="3"/>
        <v>0</v>
      </c>
      <c r="I108" s="13">
        <f t="shared" si="4"/>
        <v>0</v>
      </c>
      <c r="J108" s="12"/>
      <c r="K108" s="18" t="str">
        <f>IFERROR(VLOOKUP(A108,Proveedores!B106:H319,3,0), "")</f>
        <v/>
      </c>
    </row>
    <row r="109" ht="21.75" customHeight="1">
      <c r="A109" s="16" t="str">
        <f>Productos!B107</f>
        <v/>
      </c>
      <c r="B109" s="16" t="str">
        <f>Productos!C107</f>
        <v/>
      </c>
      <c r="C109" s="16" t="str">
        <f>Productos!E107</f>
        <v/>
      </c>
      <c r="D109" s="13" t="str">
        <f>Productos!F107</f>
        <v/>
      </c>
      <c r="E109" s="13" t="str">
        <f>Productos!G107</f>
        <v/>
      </c>
      <c r="F109" s="19"/>
      <c r="G109" s="13">
        <f t="shared" si="2"/>
        <v>0</v>
      </c>
      <c r="H109" s="13">
        <f t="shared" si="3"/>
        <v>0</v>
      </c>
      <c r="I109" s="13">
        <f t="shared" si="4"/>
        <v>0</v>
      </c>
      <c r="J109" s="12"/>
      <c r="K109" s="18" t="str">
        <f>IFERROR(VLOOKUP(A109,Proveedores!B107:H320,3,0), "")</f>
        <v/>
      </c>
    </row>
    <row r="110" ht="21.75" customHeight="1">
      <c r="A110" s="16" t="str">
        <f>Productos!B108</f>
        <v/>
      </c>
      <c r="B110" s="16" t="str">
        <f>Productos!C108</f>
        <v/>
      </c>
      <c r="C110" s="16" t="str">
        <f>Productos!E108</f>
        <v/>
      </c>
      <c r="D110" s="13" t="str">
        <f>Productos!F108</f>
        <v/>
      </c>
      <c r="E110" s="13" t="str">
        <f>Productos!G108</f>
        <v/>
      </c>
      <c r="F110" s="19"/>
      <c r="G110" s="13">
        <f t="shared" si="2"/>
        <v>0</v>
      </c>
      <c r="H110" s="13">
        <f t="shared" si="3"/>
        <v>0</v>
      </c>
      <c r="I110" s="13">
        <f t="shared" si="4"/>
        <v>0</v>
      </c>
      <c r="J110" s="12"/>
      <c r="K110" s="18" t="str">
        <f>IFERROR(VLOOKUP(A110,Proveedores!B108:H321,3,0), "")</f>
        <v/>
      </c>
    </row>
    <row r="111" ht="21.75" customHeight="1">
      <c r="A111" s="16" t="str">
        <f>Productos!B109</f>
        <v/>
      </c>
      <c r="B111" s="16" t="str">
        <f>Productos!C109</f>
        <v/>
      </c>
      <c r="C111" s="16" t="str">
        <f>Productos!E109</f>
        <v/>
      </c>
      <c r="D111" s="13" t="str">
        <f>Productos!F109</f>
        <v/>
      </c>
      <c r="E111" s="13" t="str">
        <f>Productos!G109</f>
        <v/>
      </c>
      <c r="F111" s="19"/>
      <c r="G111" s="13">
        <f t="shared" si="2"/>
        <v>0</v>
      </c>
      <c r="H111" s="13">
        <f t="shared" si="3"/>
        <v>0</v>
      </c>
      <c r="I111" s="13">
        <f t="shared" si="4"/>
        <v>0</v>
      </c>
      <c r="J111" s="12"/>
      <c r="K111" s="18" t="str">
        <f>IFERROR(VLOOKUP(A111,Proveedores!B109:H322,3,0), "")</f>
        <v/>
      </c>
    </row>
    <row r="112" ht="21.75" customHeight="1">
      <c r="A112" s="16" t="str">
        <f>Productos!B110</f>
        <v/>
      </c>
      <c r="B112" s="16" t="str">
        <f>Productos!C110</f>
        <v/>
      </c>
      <c r="C112" s="16" t="str">
        <f>Productos!E110</f>
        <v/>
      </c>
      <c r="D112" s="13" t="str">
        <f>Productos!F110</f>
        <v/>
      </c>
      <c r="E112" s="13" t="str">
        <f>Productos!G110</f>
        <v/>
      </c>
      <c r="F112" s="19"/>
      <c r="G112" s="13">
        <f t="shared" si="2"/>
        <v>0</v>
      </c>
      <c r="H112" s="13">
        <f t="shared" si="3"/>
        <v>0</v>
      </c>
      <c r="I112" s="13">
        <f t="shared" si="4"/>
        <v>0</v>
      </c>
      <c r="J112" s="12"/>
      <c r="K112" s="18" t="str">
        <f>IFERROR(VLOOKUP(A112,Proveedores!B110:H323,3,0), "")</f>
        <v/>
      </c>
    </row>
    <row r="113" ht="21.75" customHeight="1">
      <c r="A113" s="16" t="str">
        <f>Productos!B111</f>
        <v/>
      </c>
      <c r="B113" s="16" t="str">
        <f>Productos!C111</f>
        <v/>
      </c>
      <c r="C113" s="16" t="str">
        <f>Productos!E111</f>
        <v/>
      </c>
      <c r="D113" s="13" t="str">
        <f>Productos!F111</f>
        <v/>
      </c>
      <c r="E113" s="13" t="str">
        <f>Productos!G111</f>
        <v/>
      </c>
      <c r="F113" s="19"/>
      <c r="G113" s="13">
        <f t="shared" si="2"/>
        <v>0</v>
      </c>
      <c r="H113" s="13">
        <f t="shared" si="3"/>
        <v>0</v>
      </c>
      <c r="I113" s="13">
        <f t="shared" si="4"/>
        <v>0</v>
      </c>
      <c r="J113" s="12"/>
      <c r="K113" s="18" t="str">
        <f>IFERROR(VLOOKUP(A113,Proveedores!B111:H324,3,0), "")</f>
        <v/>
      </c>
    </row>
    <row r="114" ht="21.75" customHeight="1">
      <c r="A114" s="16" t="str">
        <f>Productos!B112</f>
        <v/>
      </c>
      <c r="B114" s="16" t="str">
        <f>Productos!C112</f>
        <v/>
      </c>
      <c r="C114" s="16" t="str">
        <f>Productos!E112</f>
        <v/>
      </c>
      <c r="D114" s="13" t="str">
        <f>Productos!F112</f>
        <v/>
      </c>
      <c r="E114" s="13" t="str">
        <f>Productos!G112</f>
        <v/>
      </c>
      <c r="F114" s="19"/>
      <c r="G114" s="13">
        <f t="shared" si="2"/>
        <v>0</v>
      </c>
      <c r="H114" s="13">
        <f t="shared" si="3"/>
        <v>0</v>
      </c>
      <c r="I114" s="13">
        <f t="shared" si="4"/>
        <v>0</v>
      </c>
      <c r="J114" s="12"/>
      <c r="K114" s="18" t="str">
        <f>IFERROR(VLOOKUP(A114,Proveedores!B112:H325,3,0), "")</f>
        <v/>
      </c>
    </row>
    <row r="115" ht="21.75" customHeight="1">
      <c r="A115" s="16" t="str">
        <f>Productos!B113</f>
        <v/>
      </c>
      <c r="B115" s="16" t="str">
        <f>Productos!C113</f>
        <v/>
      </c>
      <c r="C115" s="16" t="str">
        <f>Productos!E113</f>
        <v/>
      </c>
      <c r="D115" s="13" t="str">
        <f>Productos!F113</f>
        <v/>
      </c>
      <c r="E115" s="13" t="str">
        <f>Productos!G113</f>
        <v/>
      </c>
      <c r="F115" s="19"/>
      <c r="G115" s="13">
        <f t="shared" si="2"/>
        <v>0</v>
      </c>
      <c r="H115" s="13">
        <f t="shared" si="3"/>
        <v>0</v>
      </c>
      <c r="I115" s="13">
        <f t="shared" si="4"/>
        <v>0</v>
      </c>
      <c r="J115" s="12"/>
      <c r="K115" s="18" t="str">
        <f>IFERROR(VLOOKUP(A115,Proveedores!B113:H326,3,0), "")</f>
        <v/>
      </c>
    </row>
    <row r="116" ht="21.75" customHeight="1">
      <c r="A116" s="16" t="str">
        <f>Productos!B114</f>
        <v/>
      </c>
      <c r="B116" s="16" t="str">
        <f>Productos!C114</f>
        <v/>
      </c>
      <c r="C116" s="16" t="str">
        <f>Productos!E114</f>
        <v/>
      </c>
      <c r="D116" s="13" t="str">
        <f>Productos!F114</f>
        <v/>
      </c>
      <c r="E116" s="13" t="str">
        <f>Productos!G114</f>
        <v/>
      </c>
      <c r="F116" s="19"/>
      <c r="G116" s="13">
        <f t="shared" si="2"/>
        <v>0</v>
      </c>
      <c r="H116" s="13">
        <f t="shared" si="3"/>
        <v>0</v>
      </c>
      <c r="I116" s="13">
        <f t="shared" si="4"/>
        <v>0</v>
      </c>
      <c r="J116" s="12"/>
      <c r="K116" s="18" t="str">
        <f>IFERROR(VLOOKUP(A116,Proveedores!B114:H327,3,0), "")</f>
        <v/>
      </c>
    </row>
    <row r="117" ht="21.75" customHeight="1">
      <c r="A117" s="16" t="str">
        <f>Productos!B115</f>
        <v/>
      </c>
      <c r="B117" s="16" t="str">
        <f>Productos!C115</f>
        <v/>
      </c>
      <c r="C117" s="16" t="str">
        <f>Productos!E115</f>
        <v/>
      </c>
      <c r="D117" s="13" t="str">
        <f>Productos!F115</f>
        <v/>
      </c>
      <c r="E117" s="13" t="str">
        <f>Productos!G115</f>
        <v/>
      </c>
      <c r="F117" s="19"/>
      <c r="G117" s="13">
        <f t="shared" si="2"/>
        <v>0</v>
      </c>
      <c r="H117" s="13">
        <f t="shared" si="3"/>
        <v>0</v>
      </c>
      <c r="I117" s="13">
        <f t="shared" si="4"/>
        <v>0</v>
      </c>
      <c r="J117" s="12"/>
      <c r="K117" s="18" t="str">
        <f>IFERROR(VLOOKUP(A117,Proveedores!B115:H328,3,0), "")</f>
        <v/>
      </c>
    </row>
    <row r="118" ht="21.75" customHeight="1">
      <c r="A118" s="16" t="str">
        <f>Productos!B116</f>
        <v/>
      </c>
      <c r="B118" s="16" t="str">
        <f>Productos!C116</f>
        <v/>
      </c>
      <c r="C118" s="16" t="str">
        <f>Productos!E116</f>
        <v/>
      </c>
      <c r="D118" s="13" t="str">
        <f>Productos!F116</f>
        <v/>
      </c>
      <c r="E118" s="13" t="str">
        <f>Productos!G116</f>
        <v/>
      </c>
      <c r="F118" s="19"/>
      <c r="G118" s="13">
        <f t="shared" si="2"/>
        <v>0</v>
      </c>
      <c r="H118" s="13">
        <f t="shared" si="3"/>
        <v>0</v>
      </c>
      <c r="I118" s="13">
        <f t="shared" si="4"/>
        <v>0</v>
      </c>
      <c r="J118" s="12"/>
      <c r="K118" s="18" t="str">
        <f>IFERROR(VLOOKUP(A118,Proveedores!B116:H329,3,0), "")</f>
        <v/>
      </c>
    </row>
    <row r="119" ht="21.75" customHeight="1">
      <c r="A119" s="16" t="str">
        <f>Productos!B117</f>
        <v/>
      </c>
      <c r="B119" s="16" t="str">
        <f>Productos!C117</f>
        <v/>
      </c>
      <c r="C119" s="16" t="str">
        <f>Productos!E117</f>
        <v/>
      </c>
      <c r="D119" s="13" t="str">
        <f>Productos!F117</f>
        <v/>
      </c>
      <c r="E119" s="13" t="str">
        <f>Productos!G117</f>
        <v/>
      </c>
      <c r="F119" s="19"/>
      <c r="G119" s="13">
        <f t="shared" si="2"/>
        <v>0</v>
      </c>
      <c r="H119" s="13">
        <f t="shared" si="3"/>
        <v>0</v>
      </c>
      <c r="I119" s="13">
        <f t="shared" si="4"/>
        <v>0</v>
      </c>
      <c r="J119" s="12"/>
      <c r="K119" s="18" t="str">
        <f>IFERROR(VLOOKUP(A119,Proveedores!B117:H330,3,0), "")</f>
        <v/>
      </c>
    </row>
    <row r="120" ht="21.75" customHeight="1">
      <c r="A120" s="16" t="str">
        <f>Productos!B118</f>
        <v/>
      </c>
      <c r="B120" s="16" t="str">
        <f>Productos!C118</f>
        <v/>
      </c>
      <c r="C120" s="16" t="str">
        <f>Productos!E118</f>
        <v/>
      </c>
      <c r="D120" s="13" t="str">
        <f>Productos!F118</f>
        <v/>
      </c>
      <c r="E120" s="13" t="str">
        <f>Productos!G118</f>
        <v/>
      </c>
      <c r="F120" s="19"/>
      <c r="G120" s="13">
        <f t="shared" si="2"/>
        <v>0</v>
      </c>
      <c r="H120" s="13">
        <f t="shared" si="3"/>
        <v>0</v>
      </c>
      <c r="I120" s="13">
        <f t="shared" si="4"/>
        <v>0</v>
      </c>
      <c r="J120" s="12"/>
      <c r="K120" s="18" t="str">
        <f>IFERROR(VLOOKUP(A120,Proveedores!B118:H331,3,0), "")</f>
        <v/>
      </c>
    </row>
    <row r="121" ht="21.75" customHeight="1">
      <c r="A121" s="16" t="str">
        <f>Productos!B119</f>
        <v/>
      </c>
      <c r="B121" s="16" t="str">
        <f>Productos!C119</f>
        <v/>
      </c>
      <c r="C121" s="16" t="str">
        <f>Productos!E119</f>
        <v/>
      </c>
      <c r="D121" s="13" t="str">
        <f>Productos!F119</f>
        <v/>
      </c>
      <c r="E121" s="13" t="str">
        <f>Productos!G119</f>
        <v/>
      </c>
      <c r="F121" s="19"/>
      <c r="G121" s="13">
        <f t="shared" si="2"/>
        <v>0</v>
      </c>
      <c r="H121" s="13">
        <f t="shared" si="3"/>
        <v>0</v>
      </c>
      <c r="I121" s="13">
        <f t="shared" si="4"/>
        <v>0</v>
      </c>
      <c r="J121" s="12"/>
      <c r="K121" s="18" t="str">
        <f>IFERROR(VLOOKUP(A121,Proveedores!B119:H332,3,0), "")</f>
        <v/>
      </c>
    </row>
    <row r="122" ht="21.75" customHeight="1">
      <c r="A122" s="16" t="str">
        <f>Productos!B120</f>
        <v/>
      </c>
      <c r="B122" s="16" t="str">
        <f>Productos!C120</f>
        <v/>
      </c>
      <c r="C122" s="16" t="str">
        <f>Productos!E120</f>
        <v/>
      </c>
      <c r="D122" s="13" t="str">
        <f>Productos!F120</f>
        <v/>
      </c>
      <c r="E122" s="13" t="str">
        <f>Productos!G120</f>
        <v/>
      </c>
      <c r="F122" s="19"/>
      <c r="G122" s="13">
        <f t="shared" si="2"/>
        <v>0</v>
      </c>
      <c r="H122" s="13">
        <f t="shared" si="3"/>
        <v>0</v>
      </c>
      <c r="I122" s="13">
        <f t="shared" si="4"/>
        <v>0</v>
      </c>
      <c r="J122" s="12"/>
      <c r="K122" s="18" t="str">
        <f>IFERROR(VLOOKUP(A122,Proveedores!B120:H333,3,0), "")</f>
        <v/>
      </c>
    </row>
    <row r="123" ht="21.75" customHeight="1">
      <c r="A123" s="16" t="str">
        <f>Productos!B121</f>
        <v/>
      </c>
      <c r="B123" s="16" t="str">
        <f>Productos!C121</f>
        <v/>
      </c>
      <c r="C123" s="16" t="str">
        <f>Productos!E121</f>
        <v/>
      </c>
      <c r="D123" s="13" t="str">
        <f>Productos!F121</f>
        <v/>
      </c>
      <c r="E123" s="13" t="str">
        <f>Productos!G121</f>
        <v/>
      </c>
      <c r="F123" s="19"/>
      <c r="G123" s="13">
        <f t="shared" si="2"/>
        <v>0</v>
      </c>
      <c r="H123" s="13">
        <f t="shared" si="3"/>
        <v>0</v>
      </c>
      <c r="I123" s="13">
        <f t="shared" si="4"/>
        <v>0</v>
      </c>
      <c r="J123" s="12"/>
      <c r="K123" s="18" t="str">
        <f>IFERROR(VLOOKUP(A123,Proveedores!B121:H334,3,0), "")</f>
        <v/>
      </c>
    </row>
    <row r="124" ht="21.75" customHeight="1">
      <c r="A124" s="16" t="str">
        <f>Productos!B122</f>
        <v/>
      </c>
      <c r="B124" s="16" t="str">
        <f>Productos!C122</f>
        <v/>
      </c>
      <c r="C124" s="16" t="str">
        <f>Productos!E122</f>
        <v/>
      </c>
      <c r="D124" s="13" t="str">
        <f>Productos!F122</f>
        <v/>
      </c>
      <c r="E124" s="13" t="str">
        <f>Productos!G122</f>
        <v/>
      </c>
      <c r="F124" s="19"/>
      <c r="G124" s="13">
        <f t="shared" si="2"/>
        <v>0</v>
      </c>
      <c r="H124" s="13">
        <f t="shared" si="3"/>
        <v>0</v>
      </c>
      <c r="I124" s="13">
        <f t="shared" si="4"/>
        <v>0</v>
      </c>
      <c r="J124" s="12"/>
      <c r="K124" s="18" t="str">
        <f>IFERROR(VLOOKUP(A124,Proveedores!B122:H335,3,0), "")</f>
        <v/>
      </c>
    </row>
    <row r="125" ht="21.75" customHeight="1">
      <c r="A125" s="16" t="str">
        <f>Productos!B123</f>
        <v/>
      </c>
      <c r="B125" s="16" t="str">
        <f>Productos!C123</f>
        <v/>
      </c>
      <c r="C125" s="16" t="str">
        <f>Productos!E123</f>
        <v/>
      </c>
      <c r="D125" s="13" t="str">
        <f>Productos!F123</f>
        <v/>
      </c>
      <c r="E125" s="13" t="str">
        <f>Productos!G123</f>
        <v/>
      </c>
      <c r="F125" s="19"/>
      <c r="G125" s="13">
        <f t="shared" si="2"/>
        <v>0</v>
      </c>
      <c r="H125" s="13">
        <f t="shared" si="3"/>
        <v>0</v>
      </c>
      <c r="I125" s="13">
        <f t="shared" si="4"/>
        <v>0</v>
      </c>
      <c r="J125" s="12"/>
      <c r="K125" s="18" t="str">
        <f>IFERROR(VLOOKUP(A125,Proveedores!B123:H336,3,0), "")</f>
        <v/>
      </c>
    </row>
    <row r="126" ht="21.75" customHeight="1">
      <c r="A126" s="16" t="str">
        <f>Productos!B124</f>
        <v/>
      </c>
      <c r="B126" s="16" t="str">
        <f>Productos!C124</f>
        <v/>
      </c>
      <c r="C126" s="16" t="str">
        <f>Productos!E124</f>
        <v/>
      </c>
      <c r="D126" s="13" t="str">
        <f>Productos!F124</f>
        <v/>
      </c>
      <c r="E126" s="13" t="str">
        <f>Productos!G124</f>
        <v/>
      </c>
      <c r="F126" s="19"/>
      <c r="G126" s="13">
        <f t="shared" si="2"/>
        <v>0</v>
      </c>
      <c r="H126" s="13">
        <f t="shared" si="3"/>
        <v>0</v>
      </c>
      <c r="I126" s="13">
        <f t="shared" si="4"/>
        <v>0</v>
      </c>
      <c r="J126" s="12"/>
      <c r="K126" s="18" t="str">
        <f>IFERROR(VLOOKUP(A126,Proveedores!B124:H337,3,0), "")</f>
        <v/>
      </c>
    </row>
    <row r="127" ht="21.75" customHeight="1">
      <c r="A127" s="16" t="str">
        <f>Productos!B125</f>
        <v/>
      </c>
      <c r="B127" s="16" t="str">
        <f>Productos!C125</f>
        <v/>
      </c>
      <c r="C127" s="16" t="str">
        <f>Productos!E125</f>
        <v/>
      </c>
      <c r="D127" s="13" t="str">
        <f>Productos!F125</f>
        <v/>
      </c>
      <c r="E127" s="13" t="str">
        <f>Productos!G125</f>
        <v/>
      </c>
      <c r="F127" s="19"/>
      <c r="G127" s="13">
        <f t="shared" si="2"/>
        <v>0</v>
      </c>
      <c r="H127" s="13">
        <f t="shared" si="3"/>
        <v>0</v>
      </c>
      <c r="I127" s="13">
        <f t="shared" si="4"/>
        <v>0</v>
      </c>
      <c r="J127" s="12"/>
      <c r="K127" s="18" t="str">
        <f>IFERROR(VLOOKUP(A127,Proveedores!B125:H338,3,0), "")</f>
        <v/>
      </c>
    </row>
    <row r="128" ht="21.75" customHeight="1">
      <c r="A128" s="16" t="str">
        <f>Productos!B126</f>
        <v/>
      </c>
      <c r="B128" s="16" t="str">
        <f>Productos!C126</f>
        <v/>
      </c>
      <c r="C128" s="16" t="str">
        <f>Productos!E126</f>
        <v/>
      </c>
      <c r="D128" s="13" t="str">
        <f>Productos!F126</f>
        <v/>
      </c>
      <c r="E128" s="13" t="str">
        <f>Productos!G126</f>
        <v/>
      </c>
      <c r="F128" s="19"/>
      <c r="G128" s="13">
        <f t="shared" si="2"/>
        <v>0</v>
      </c>
      <c r="H128" s="13">
        <f t="shared" si="3"/>
        <v>0</v>
      </c>
      <c r="I128" s="13">
        <f t="shared" si="4"/>
        <v>0</v>
      </c>
      <c r="J128" s="12"/>
      <c r="K128" s="18" t="str">
        <f>IFERROR(VLOOKUP(A128,Proveedores!B126:H339,3,0), "")</f>
        <v/>
      </c>
    </row>
    <row r="129" ht="21.75" customHeight="1">
      <c r="A129" s="16" t="str">
        <f>Productos!B127</f>
        <v/>
      </c>
      <c r="B129" s="16" t="str">
        <f>Productos!C127</f>
        <v/>
      </c>
      <c r="C129" s="16" t="str">
        <f>Productos!E127</f>
        <v/>
      </c>
      <c r="D129" s="13" t="str">
        <f>Productos!F127</f>
        <v/>
      </c>
      <c r="E129" s="13" t="str">
        <f>Productos!G127</f>
        <v/>
      </c>
      <c r="F129" s="19"/>
      <c r="G129" s="13">
        <f t="shared" si="2"/>
        <v>0</v>
      </c>
      <c r="H129" s="13">
        <f t="shared" si="3"/>
        <v>0</v>
      </c>
      <c r="I129" s="13">
        <f t="shared" si="4"/>
        <v>0</v>
      </c>
      <c r="J129" s="12"/>
      <c r="K129" s="18" t="str">
        <f>IFERROR(VLOOKUP(A129,Proveedores!B127:H340,3,0), "")</f>
        <v/>
      </c>
    </row>
    <row r="130" ht="21.75" customHeight="1">
      <c r="A130" s="16" t="str">
        <f>Productos!B128</f>
        <v/>
      </c>
      <c r="B130" s="16" t="str">
        <f>Productos!C128</f>
        <v/>
      </c>
      <c r="C130" s="16" t="str">
        <f>Productos!E128</f>
        <v/>
      </c>
      <c r="D130" s="13" t="str">
        <f>Productos!F128</f>
        <v/>
      </c>
      <c r="E130" s="13" t="str">
        <f>Productos!G128</f>
        <v/>
      </c>
      <c r="F130" s="19"/>
      <c r="G130" s="13">
        <f t="shared" si="2"/>
        <v>0</v>
      </c>
      <c r="H130" s="13">
        <f t="shared" si="3"/>
        <v>0</v>
      </c>
      <c r="I130" s="13">
        <f t="shared" si="4"/>
        <v>0</v>
      </c>
      <c r="J130" s="12"/>
      <c r="K130" s="18" t="str">
        <f>IFERROR(VLOOKUP(A130,Proveedores!B128:H341,3,0), "")</f>
        <v/>
      </c>
    </row>
    <row r="131" ht="21.75" customHeight="1">
      <c r="A131" s="16" t="str">
        <f>Productos!B129</f>
        <v/>
      </c>
      <c r="B131" s="16" t="str">
        <f>Productos!C129</f>
        <v/>
      </c>
      <c r="C131" s="16" t="str">
        <f>Productos!E129</f>
        <v/>
      </c>
      <c r="D131" s="13" t="str">
        <f>Productos!F129</f>
        <v/>
      </c>
      <c r="E131" s="13" t="str">
        <f>Productos!G129</f>
        <v/>
      </c>
      <c r="F131" s="19"/>
      <c r="G131" s="13">
        <f t="shared" si="2"/>
        <v>0</v>
      </c>
      <c r="H131" s="13">
        <f t="shared" si="3"/>
        <v>0</v>
      </c>
      <c r="I131" s="13">
        <f t="shared" si="4"/>
        <v>0</v>
      </c>
      <c r="J131" s="12"/>
      <c r="K131" s="18" t="str">
        <f>IFERROR(VLOOKUP(A131,Proveedores!B129:H342,3,0), "")</f>
        <v/>
      </c>
    </row>
    <row r="132" ht="21.75" customHeight="1">
      <c r="A132" s="16" t="str">
        <f>Productos!B130</f>
        <v/>
      </c>
      <c r="B132" s="16" t="str">
        <f>Productos!C130</f>
        <v/>
      </c>
      <c r="C132" s="16" t="str">
        <f>Productos!E130</f>
        <v/>
      </c>
      <c r="D132" s="13" t="str">
        <f>Productos!F130</f>
        <v/>
      </c>
      <c r="E132" s="13" t="str">
        <f>Productos!G130</f>
        <v/>
      </c>
      <c r="F132" s="19"/>
      <c r="G132" s="13">
        <f t="shared" si="2"/>
        <v>0</v>
      </c>
      <c r="H132" s="13">
        <f t="shared" si="3"/>
        <v>0</v>
      </c>
      <c r="I132" s="13">
        <f t="shared" si="4"/>
        <v>0</v>
      </c>
      <c r="J132" s="12"/>
      <c r="K132" s="18" t="str">
        <f>IFERROR(VLOOKUP(A132,Proveedores!B130:H343,3,0), "")</f>
        <v/>
      </c>
    </row>
    <row r="133" ht="21.75" customHeight="1">
      <c r="A133" s="16" t="str">
        <f>Productos!B131</f>
        <v/>
      </c>
      <c r="B133" s="16" t="str">
        <f>Productos!C131</f>
        <v/>
      </c>
      <c r="C133" s="16" t="str">
        <f>Productos!E131</f>
        <v/>
      </c>
      <c r="D133" s="13" t="str">
        <f>Productos!F131</f>
        <v/>
      </c>
      <c r="E133" s="13" t="str">
        <f>Productos!G131</f>
        <v/>
      </c>
      <c r="F133" s="19"/>
      <c r="G133" s="13">
        <f t="shared" si="2"/>
        <v>0</v>
      </c>
      <c r="H133" s="13">
        <f t="shared" si="3"/>
        <v>0</v>
      </c>
      <c r="I133" s="13">
        <f t="shared" si="4"/>
        <v>0</v>
      </c>
      <c r="J133" s="12"/>
      <c r="K133" s="18" t="str">
        <f>IFERROR(VLOOKUP(A133,Proveedores!B131:H344,3,0), "")</f>
        <v/>
      </c>
    </row>
    <row r="134" ht="21.75" customHeight="1">
      <c r="A134" s="16" t="str">
        <f>Productos!B132</f>
        <v/>
      </c>
      <c r="B134" s="16" t="str">
        <f>Productos!C132</f>
        <v/>
      </c>
      <c r="C134" s="16" t="str">
        <f>Productos!E132</f>
        <v/>
      </c>
      <c r="D134" s="13" t="str">
        <f>Productos!F132</f>
        <v/>
      </c>
      <c r="E134" s="13" t="str">
        <f>Productos!G132</f>
        <v/>
      </c>
      <c r="F134" s="19"/>
      <c r="G134" s="13">
        <f t="shared" si="2"/>
        <v>0</v>
      </c>
      <c r="H134" s="13">
        <f t="shared" si="3"/>
        <v>0</v>
      </c>
      <c r="I134" s="13">
        <f t="shared" si="4"/>
        <v>0</v>
      </c>
      <c r="J134" s="12"/>
      <c r="K134" s="18" t="str">
        <f>IFERROR(VLOOKUP(A134,Proveedores!B132:H345,3,0), "")</f>
        <v/>
      </c>
    </row>
    <row r="135" ht="21.75" customHeight="1">
      <c r="A135" s="16" t="str">
        <f>Productos!B133</f>
        <v/>
      </c>
      <c r="B135" s="16" t="str">
        <f>Productos!C133</f>
        <v/>
      </c>
      <c r="C135" s="16" t="str">
        <f>Productos!E133</f>
        <v/>
      </c>
      <c r="D135" s="13" t="str">
        <f>Productos!F133</f>
        <v/>
      </c>
      <c r="E135" s="13" t="str">
        <f>Productos!G133</f>
        <v/>
      </c>
      <c r="F135" s="19"/>
      <c r="G135" s="13">
        <f t="shared" si="2"/>
        <v>0</v>
      </c>
      <c r="H135" s="13">
        <f t="shared" si="3"/>
        <v>0</v>
      </c>
      <c r="I135" s="13">
        <f t="shared" si="4"/>
        <v>0</v>
      </c>
      <c r="J135" s="12"/>
      <c r="K135" s="18" t="str">
        <f>IFERROR(VLOOKUP(A135,Proveedores!B133:H346,3,0), "")</f>
        <v/>
      </c>
    </row>
    <row r="136" ht="21.75" customHeight="1">
      <c r="A136" s="16" t="str">
        <f>Productos!B134</f>
        <v/>
      </c>
      <c r="B136" s="16" t="str">
        <f>Productos!C134</f>
        <v/>
      </c>
      <c r="C136" s="16" t="str">
        <f>Productos!E134</f>
        <v/>
      </c>
      <c r="D136" s="13" t="str">
        <f>Productos!F134</f>
        <v/>
      </c>
      <c r="E136" s="13" t="str">
        <f>Productos!G134</f>
        <v/>
      </c>
      <c r="F136" s="19"/>
      <c r="G136" s="13">
        <f t="shared" si="2"/>
        <v>0</v>
      </c>
      <c r="H136" s="13">
        <f t="shared" si="3"/>
        <v>0</v>
      </c>
      <c r="I136" s="13">
        <f t="shared" si="4"/>
        <v>0</v>
      </c>
      <c r="J136" s="12"/>
      <c r="K136" s="18" t="str">
        <f>IFERROR(VLOOKUP(A136,Proveedores!B134:H347,3,0), "")</f>
        <v/>
      </c>
    </row>
    <row r="137" ht="21.75" customHeight="1">
      <c r="A137" s="16" t="str">
        <f>Productos!B135</f>
        <v/>
      </c>
      <c r="B137" s="16" t="str">
        <f>Productos!C135</f>
        <v/>
      </c>
      <c r="C137" s="16" t="str">
        <f>Productos!E135</f>
        <v/>
      </c>
      <c r="D137" s="13" t="str">
        <f>Productos!F135</f>
        <v/>
      </c>
      <c r="E137" s="13" t="str">
        <f>Productos!G135</f>
        <v/>
      </c>
      <c r="F137" s="19"/>
      <c r="G137" s="13">
        <f t="shared" si="2"/>
        <v>0</v>
      </c>
      <c r="H137" s="13">
        <f t="shared" si="3"/>
        <v>0</v>
      </c>
      <c r="I137" s="13">
        <f t="shared" si="4"/>
        <v>0</v>
      </c>
      <c r="J137" s="12"/>
      <c r="K137" s="18" t="str">
        <f>IFERROR(VLOOKUP(A137,Proveedores!B135:H348,3,0), "")</f>
        <v/>
      </c>
    </row>
    <row r="138" ht="21.75" customHeight="1">
      <c r="A138" s="16" t="str">
        <f>Productos!B136</f>
        <v/>
      </c>
      <c r="B138" s="16" t="str">
        <f>Productos!C136</f>
        <v/>
      </c>
      <c r="C138" s="16" t="str">
        <f>Productos!E136</f>
        <v/>
      </c>
      <c r="D138" s="13" t="str">
        <f>Productos!F136</f>
        <v/>
      </c>
      <c r="E138" s="13" t="str">
        <f>Productos!G136</f>
        <v/>
      </c>
      <c r="F138" s="19"/>
      <c r="G138" s="13">
        <f t="shared" si="2"/>
        <v>0</v>
      </c>
      <c r="H138" s="13">
        <f t="shared" si="3"/>
        <v>0</v>
      </c>
      <c r="I138" s="13">
        <f t="shared" si="4"/>
        <v>0</v>
      </c>
      <c r="J138" s="12"/>
      <c r="K138" s="18" t="str">
        <f>IFERROR(VLOOKUP(A138,Proveedores!B136:H349,3,0), "")</f>
        <v/>
      </c>
    </row>
    <row r="139" ht="21.75" customHeight="1">
      <c r="A139" s="16" t="str">
        <f>Productos!B137</f>
        <v/>
      </c>
      <c r="B139" s="16" t="str">
        <f>Productos!C137</f>
        <v/>
      </c>
      <c r="C139" s="16" t="str">
        <f>Productos!E137</f>
        <v/>
      </c>
      <c r="D139" s="13" t="str">
        <f>Productos!F137</f>
        <v/>
      </c>
      <c r="E139" s="13" t="str">
        <f>Productos!G137</f>
        <v/>
      </c>
      <c r="F139" s="19"/>
      <c r="G139" s="13">
        <f t="shared" si="2"/>
        <v>0</v>
      </c>
      <c r="H139" s="13">
        <f t="shared" si="3"/>
        <v>0</v>
      </c>
      <c r="I139" s="13">
        <f t="shared" si="4"/>
        <v>0</v>
      </c>
      <c r="J139" s="12"/>
      <c r="K139" s="18" t="str">
        <f>IFERROR(VLOOKUP(A139,Proveedores!B137:H350,3,0), "")</f>
        <v/>
      </c>
    </row>
    <row r="140" ht="21.75" customHeight="1">
      <c r="A140" s="16" t="str">
        <f>Productos!B138</f>
        <v/>
      </c>
      <c r="B140" s="16" t="str">
        <f>Productos!C138</f>
        <v/>
      </c>
      <c r="C140" s="16" t="str">
        <f>Productos!E138</f>
        <v/>
      </c>
      <c r="D140" s="13" t="str">
        <f>Productos!F138</f>
        <v/>
      </c>
      <c r="E140" s="13" t="str">
        <f>Productos!G138</f>
        <v/>
      </c>
      <c r="F140" s="19"/>
      <c r="G140" s="13">
        <f t="shared" si="2"/>
        <v>0</v>
      </c>
      <c r="H140" s="13">
        <f t="shared" si="3"/>
        <v>0</v>
      </c>
      <c r="I140" s="13">
        <f t="shared" si="4"/>
        <v>0</v>
      </c>
      <c r="J140" s="12"/>
      <c r="K140" s="18" t="str">
        <f>IFERROR(VLOOKUP(A140,Proveedores!B138:H351,3,0), "")</f>
        <v/>
      </c>
    </row>
    <row r="141" ht="21.75" customHeight="1">
      <c r="A141" s="16" t="str">
        <f>Productos!B139</f>
        <v/>
      </c>
      <c r="B141" s="16" t="str">
        <f>Productos!C139</f>
        <v/>
      </c>
      <c r="C141" s="16" t="str">
        <f>Productos!E139</f>
        <v/>
      </c>
      <c r="D141" s="13" t="str">
        <f>Productos!F139</f>
        <v/>
      </c>
      <c r="E141" s="13" t="str">
        <f>Productos!G139</f>
        <v/>
      </c>
      <c r="F141" s="19"/>
      <c r="G141" s="13">
        <f t="shared" si="2"/>
        <v>0</v>
      </c>
      <c r="H141" s="13">
        <f t="shared" si="3"/>
        <v>0</v>
      </c>
      <c r="I141" s="13">
        <f t="shared" si="4"/>
        <v>0</v>
      </c>
      <c r="J141" s="12"/>
      <c r="K141" s="18" t="str">
        <f>IFERROR(VLOOKUP(A141,Proveedores!B139:H352,3,0), "")</f>
        <v/>
      </c>
    </row>
    <row r="142" ht="21.75" customHeight="1">
      <c r="A142" s="16" t="str">
        <f>Productos!B140</f>
        <v/>
      </c>
      <c r="B142" s="16" t="str">
        <f>Productos!C140</f>
        <v/>
      </c>
      <c r="C142" s="16" t="str">
        <f>Productos!E140</f>
        <v/>
      </c>
      <c r="D142" s="13" t="str">
        <f>Productos!F140</f>
        <v/>
      </c>
      <c r="E142" s="13" t="str">
        <f>Productos!G140</f>
        <v/>
      </c>
      <c r="F142" s="19"/>
      <c r="G142" s="13">
        <f t="shared" si="2"/>
        <v>0</v>
      </c>
      <c r="H142" s="13">
        <f t="shared" si="3"/>
        <v>0</v>
      </c>
      <c r="I142" s="13">
        <f t="shared" si="4"/>
        <v>0</v>
      </c>
      <c r="J142" s="12"/>
      <c r="K142" s="18" t="str">
        <f>IFERROR(VLOOKUP(A142,Proveedores!B140:H353,3,0), "")</f>
        <v/>
      </c>
    </row>
    <row r="143" ht="21.75" customHeight="1">
      <c r="A143" s="16" t="str">
        <f>Productos!B141</f>
        <v/>
      </c>
      <c r="B143" s="16" t="str">
        <f>Productos!C141</f>
        <v/>
      </c>
      <c r="C143" s="16" t="str">
        <f>Productos!E141</f>
        <v/>
      </c>
      <c r="D143" s="13" t="str">
        <f>Productos!F141</f>
        <v/>
      </c>
      <c r="E143" s="13" t="str">
        <f>Productos!G141</f>
        <v/>
      </c>
      <c r="F143" s="19"/>
      <c r="G143" s="13">
        <f t="shared" si="2"/>
        <v>0</v>
      </c>
      <c r="H143" s="13">
        <f t="shared" si="3"/>
        <v>0</v>
      </c>
      <c r="I143" s="13">
        <f t="shared" si="4"/>
        <v>0</v>
      </c>
      <c r="J143" s="12"/>
      <c r="K143" s="18" t="str">
        <f>IFERROR(VLOOKUP(A143,Proveedores!B141:H354,3,0), "")</f>
        <v/>
      </c>
    </row>
    <row r="144" ht="21.75" customHeight="1">
      <c r="A144" s="16" t="str">
        <f>Productos!B142</f>
        <v/>
      </c>
      <c r="B144" s="16" t="str">
        <f>Productos!C142</f>
        <v/>
      </c>
      <c r="C144" s="16" t="str">
        <f>Productos!E142</f>
        <v/>
      </c>
      <c r="D144" s="13" t="str">
        <f>Productos!F142</f>
        <v/>
      </c>
      <c r="E144" s="13" t="str">
        <f>Productos!G142</f>
        <v/>
      </c>
      <c r="F144" s="19"/>
      <c r="G144" s="13">
        <f t="shared" si="2"/>
        <v>0</v>
      </c>
      <c r="H144" s="13">
        <f t="shared" si="3"/>
        <v>0</v>
      </c>
      <c r="I144" s="13">
        <f t="shared" si="4"/>
        <v>0</v>
      </c>
      <c r="J144" s="12"/>
      <c r="K144" s="18" t="str">
        <f>IFERROR(VLOOKUP(A144,Proveedores!B142:H355,3,0), "")</f>
        <v/>
      </c>
    </row>
    <row r="145" ht="21.75" customHeight="1">
      <c r="A145" s="16" t="str">
        <f>Productos!B143</f>
        <v/>
      </c>
      <c r="B145" s="16" t="str">
        <f>Productos!C143</f>
        <v/>
      </c>
      <c r="C145" s="16" t="str">
        <f>Productos!E143</f>
        <v/>
      </c>
      <c r="D145" s="13" t="str">
        <f>Productos!F143</f>
        <v/>
      </c>
      <c r="E145" s="13" t="str">
        <f>Productos!G143</f>
        <v/>
      </c>
      <c r="F145" s="19"/>
      <c r="G145" s="13">
        <f t="shared" si="2"/>
        <v>0</v>
      </c>
      <c r="H145" s="13">
        <f t="shared" si="3"/>
        <v>0</v>
      </c>
      <c r="I145" s="13">
        <f t="shared" si="4"/>
        <v>0</v>
      </c>
      <c r="J145" s="12"/>
      <c r="K145" s="18" t="str">
        <f>IFERROR(VLOOKUP(A145,Proveedores!B143:H356,3,0), "")</f>
        <v/>
      </c>
    </row>
    <row r="146" ht="21.75" customHeight="1">
      <c r="A146" s="16" t="str">
        <f>Productos!B144</f>
        <v/>
      </c>
      <c r="B146" s="16" t="str">
        <f>Productos!C144</f>
        <v/>
      </c>
      <c r="C146" s="16" t="str">
        <f>Productos!E144</f>
        <v/>
      </c>
      <c r="D146" s="13" t="str">
        <f>Productos!F144</f>
        <v/>
      </c>
      <c r="E146" s="13" t="str">
        <f>Productos!G144</f>
        <v/>
      </c>
      <c r="F146" s="19"/>
      <c r="G146" s="13">
        <f t="shared" si="2"/>
        <v>0</v>
      </c>
      <c r="H146" s="13">
        <f t="shared" si="3"/>
        <v>0</v>
      </c>
      <c r="I146" s="13">
        <f t="shared" si="4"/>
        <v>0</v>
      </c>
      <c r="J146" s="12"/>
      <c r="K146" s="18" t="str">
        <f>IFERROR(VLOOKUP(A146,Proveedores!B144:H357,3,0), "")</f>
        <v/>
      </c>
    </row>
    <row r="147" ht="21.75" customHeight="1">
      <c r="A147" s="16" t="str">
        <f>Productos!B145</f>
        <v/>
      </c>
      <c r="B147" s="16" t="str">
        <f>Productos!C145</f>
        <v/>
      </c>
      <c r="C147" s="16" t="str">
        <f>Productos!E145</f>
        <v/>
      </c>
      <c r="D147" s="13" t="str">
        <f>Productos!F145</f>
        <v/>
      </c>
      <c r="E147" s="13" t="str">
        <f>Productos!G145</f>
        <v/>
      </c>
      <c r="F147" s="19"/>
      <c r="G147" s="13">
        <f t="shared" si="2"/>
        <v>0</v>
      </c>
      <c r="H147" s="13">
        <f t="shared" si="3"/>
        <v>0</v>
      </c>
      <c r="I147" s="13">
        <f t="shared" si="4"/>
        <v>0</v>
      </c>
      <c r="J147" s="12"/>
      <c r="K147" s="18" t="str">
        <f>IFERROR(VLOOKUP(A147,Proveedores!B145:H358,3,0), "")</f>
        <v/>
      </c>
    </row>
    <row r="148" ht="21.75" customHeight="1">
      <c r="A148" s="16" t="str">
        <f>Productos!B146</f>
        <v/>
      </c>
      <c r="B148" s="16" t="str">
        <f>Productos!C146</f>
        <v/>
      </c>
      <c r="C148" s="16" t="str">
        <f>Productos!E146</f>
        <v/>
      </c>
      <c r="D148" s="13" t="str">
        <f>Productos!F146</f>
        <v/>
      </c>
      <c r="E148" s="13" t="str">
        <f>Productos!G146</f>
        <v/>
      </c>
      <c r="F148" s="19"/>
      <c r="G148" s="13">
        <f t="shared" si="2"/>
        <v>0</v>
      </c>
      <c r="H148" s="13">
        <f t="shared" si="3"/>
        <v>0</v>
      </c>
      <c r="I148" s="13">
        <f t="shared" si="4"/>
        <v>0</v>
      </c>
      <c r="J148" s="12"/>
      <c r="K148" s="18" t="str">
        <f>IFERROR(VLOOKUP(A148,Proveedores!B146:H359,3,0), "")</f>
        <v/>
      </c>
    </row>
    <row r="149" ht="21.75" customHeight="1">
      <c r="A149" s="16" t="str">
        <f>Productos!B147</f>
        <v/>
      </c>
      <c r="B149" s="16" t="str">
        <f>Productos!C147</f>
        <v/>
      </c>
      <c r="C149" s="16" t="str">
        <f>Productos!E147</f>
        <v/>
      </c>
      <c r="D149" s="13" t="str">
        <f>Productos!F147</f>
        <v/>
      </c>
      <c r="E149" s="13" t="str">
        <f>Productos!G147</f>
        <v/>
      </c>
      <c r="F149" s="19"/>
      <c r="G149" s="13">
        <f t="shared" si="2"/>
        <v>0</v>
      </c>
      <c r="H149" s="13">
        <f t="shared" si="3"/>
        <v>0</v>
      </c>
      <c r="I149" s="13">
        <f t="shared" si="4"/>
        <v>0</v>
      </c>
      <c r="J149" s="12"/>
      <c r="K149" s="18" t="str">
        <f>IFERROR(VLOOKUP(A149,Proveedores!B147:H360,3,0), "")</f>
        <v/>
      </c>
    </row>
    <row r="150" ht="21.75" customHeight="1">
      <c r="A150" s="16" t="str">
        <f>Productos!B148</f>
        <v/>
      </c>
      <c r="B150" s="16" t="str">
        <f>Productos!C148</f>
        <v/>
      </c>
      <c r="C150" s="16" t="str">
        <f>Productos!E148</f>
        <v/>
      </c>
      <c r="D150" s="13" t="str">
        <f>Productos!F148</f>
        <v/>
      </c>
      <c r="E150" s="13" t="str">
        <f>Productos!G148</f>
        <v/>
      </c>
      <c r="F150" s="19"/>
      <c r="G150" s="13">
        <f t="shared" si="2"/>
        <v>0</v>
      </c>
      <c r="H150" s="13">
        <f t="shared" si="3"/>
        <v>0</v>
      </c>
      <c r="I150" s="13">
        <f t="shared" si="4"/>
        <v>0</v>
      </c>
      <c r="J150" s="12"/>
      <c r="K150" s="18" t="str">
        <f>IFERROR(VLOOKUP(A150,Proveedores!B148:H361,3,0), "")</f>
        <v/>
      </c>
    </row>
    <row r="151" ht="21.75" customHeight="1">
      <c r="A151" s="16" t="str">
        <f>Productos!B149</f>
        <v/>
      </c>
      <c r="B151" s="16" t="str">
        <f>Productos!C149</f>
        <v/>
      </c>
      <c r="C151" s="16" t="str">
        <f>Productos!E149</f>
        <v/>
      </c>
      <c r="D151" s="13" t="str">
        <f>Productos!F149</f>
        <v/>
      </c>
      <c r="E151" s="13" t="str">
        <f>Productos!G149</f>
        <v/>
      </c>
      <c r="F151" s="19"/>
      <c r="G151" s="13">
        <f t="shared" si="2"/>
        <v>0</v>
      </c>
      <c r="H151" s="13">
        <f t="shared" si="3"/>
        <v>0</v>
      </c>
      <c r="I151" s="13">
        <f t="shared" si="4"/>
        <v>0</v>
      </c>
      <c r="J151" s="12"/>
      <c r="K151" s="18" t="str">
        <f>IFERROR(VLOOKUP(A151,Proveedores!B149:H362,3,0), "")</f>
        <v/>
      </c>
    </row>
    <row r="152" ht="21.75" customHeight="1">
      <c r="A152" s="16" t="str">
        <f>Productos!B150</f>
        <v/>
      </c>
      <c r="B152" s="16" t="str">
        <f>Productos!C150</f>
        <v/>
      </c>
      <c r="C152" s="16" t="str">
        <f>Productos!E150</f>
        <v/>
      </c>
      <c r="D152" s="13" t="str">
        <f>Productos!F150</f>
        <v/>
      </c>
      <c r="E152" s="13" t="str">
        <f>Productos!G150</f>
        <v/>
      </c>
      <c r="F152" s="19"/>
      <c r="G152" s="13">
        <f t="shared" si="2"/>
        <v>0</v>
      </c>
      <c r="H152" s="13">
        <f t="shared" si="3"/>
        <v>0</v>
      </c>
      <c r="I152" s="13">
        <f t="shared" si="4"/>
        <v>0</v>
      </c>
      <c r="J152" s="12"/>
      <c r="K152" s="18" t="str">
        <f>IFERROR(VLOOKUP(A152,Proveedores!B150:H363,3,0), "")</f>
        <v/>
      </c>
    </row>
    <row r="153" ht="21.75" customHeight="1">
      <c r="A153" s="16" t="str">
        <f>Productos!B151</f>
        <v/>
      </c>
      <c r="B153" s="16" t="str">
        <f>Productos!C151</f>
        <v/>
      </c>
      <c r="C153" s="16" t="str">
        <f>Productos!E151</f>
        <v/>
      </c>
      <c r="D153" s="13" t="str">
        <f>Productos!F151</f>
        <v/>
      </c>
      <c r="E153" s="13" t="str">
        <f>Productos!G151</f>
        <v/>
      </c>
      <c r="F153" s="19"/>
      <c r="G153" s="13">
        <f t="shared" si="2"/>
        <v>0</v>
      </c>
      <c r="H153" s="13">
        <f t="shared" si="3"/>
        <v>0</v>
      </c>
      <c r="I153" s="13">
        <f t="shared" si="4"/>
        <v>0</v>
      </c>
      <c r="J153" s="12"/>
      <c r="K153" s="18" t="str">
        <f>IFERROR(VLOOKUP(A153,Proveedores!B151:H364,3,0), "")</f>
        <v/>
      </c>
    </row>
    <row r="154" ht="21.75" customHeight="1">
      <c r="A154" s="16" t="str">
        <f>Productos!B152</f>
        <v/>
      </c>
      <c r="B154" s="16" t="str">
        <f>Productos!C152</f>
        <v/>
      </c>
      <c r="C154" s="16" t="str">
        <f>Productos!E152</f>
        <v/>
      </c>
      <c r="D154" s="13" t="str">
        <f>Productos!F152</f>
        <v/>
      </c>
      <c r="E154" s="13" t="str">
        <f>Productos!G152</f>
        <v/>
      </c>
      <c r="F154" s="19"/>
      <c r="G154" s="13">
        <f t="shared" si="2"/>
        <v>0</v>
      </c>
      <c r="H154" s="13">
        <f t="shared" si="3"/>
        <v>0</v>
      </c>
      <c r="I154" s="13">
        <f t="shared" si="4"/>
        <v>0</v>
      </c>
      <c r="J154" s="12"/>
      <c r="K154" s="18" t="str">
        <f>IFERROR(VLOOKUP(A154,Proveedores!B152:H365,3,0), "")</f>
        <v/>
      </c>
    </row>
    <row r="155" ht="21.75" customHeight="1">
      <c r="A155" s="16" t="str">
        <f>Productos!B153</f>
        <v/>
      </c>
      <c r="B155" s="16" t="str">
        <f>Productos!C153</f>
        <v/>
      </c>
      <c r="C155" s="16" t="str">
        <f>Productos!E153</f>
        <v/>
      </c>
      <c r="D155" s="13" t="str">
        <f>Productos!F153</f>
        <v/>
      </c>
      <c r="E155" s="13" t="str">
        <f>Productos!G153</f>
        <v/>
      </c>
      <c r="F155" s="19"/>
      <c r="G155" s="13">
        <f t="shared" si="2"/>
        <v>0</v>
      </c>
      <c r="H155" s="13">
        <f t="shared" si="3"/>
        <v>0</v>
      </c>
      <c r="I155" s="13">
        <f t="shared" si="4"/>
        <v>0</v>
      </c>
      <c r="J155" s="12"/>
      <c r="K155" s="18" t="str">
        <f>IFERROR(VLOOKUP(A155,Proveedores!B153:H366,3,0), "")</f>
        <v/>
      </c>
    </row>
    <row r="156" ht="21.75" customHeight="1">
      <c r="A156" s="16" t="str">
        <f>Productos!B154</f>
        <v/>
      </c>
      <c r="B156" s="16" t="str">
        <f>Productos!C154</f>
        <v/>
      </c>
      <c r="C156" s="16" t="str">
        <f>Productos!E154</f>
        <v/>
      </c>
      <c r="D156" s="13" t="str">
        <f>Productos!F154</f>
        <v/>
      </c>
      <c r="E156" s="13" t="str">
        <f>Productos!G154</f>
        <v/>
      </c>
      <c r="F156" s="19"/>
      <c r="G156" s="13">
        <f t="shared" si="2"/>
        <v>0</v>
      </c>
      <c r="H156" s="13">
        <f t="shared" si="3"/>
        <v>0</v>
      </c>
      <c r="I156" s="13">
        <f t="shared" si="4"/>
        <v>0</v>
      </c>
      <c r="J156" s="12"/>
      <c r="K156" s="18" t="str">
        <f>IFERROR(VLOOKUP(A156,Proveedores!B154:H367,3,0), "")</f>
        <v/>
      </c>
    </row>
    <row r="157" ht="21.75" customHeight="1">
      <c r="A157" s="16" t="str">
        <f>Productos!B155</f>
        <v/>
      </c>
      <c r="B157" s="16" t="str">
        <f>Productos!C155</f>
        <v/>
      </c>
      <c r="C157" s="16" t="str">
        <f>Productos!E155</f>
        <v/>
      </c>
      <c r="D157" s="13" t="str">
        <f>Productos!F155</f>
        <v/>
      </c>
      <c r="E157" s="13" t="str">
        <f>Productos!G155</f>
        <v/>
      </c>
      <c r="F157" s="19"/>
      <c r="G157" s="13">
        <f t="shared" si="2"/>
        <v>0</v>
      </c>
      <c r="H157" s="13">
        <f t="shared" si="3"/>
        <v>0</v>
      </c>
      <c r="I157" s="13">
        <f t="shared" si="4"/>
        <v>0</v>
      </c>
      <c r="J157" s="12"/>
      <c r="K157" s="18" t="str">
        <f>IFERROR(VLOOKUP(A157,Proveedores!B155:H368,3,0), "")</f>
        <v/>
      </c>
    </row>
    <row r="158" ht="21.75" customHeight="1">
      <c r="A158" s="16" t="str">
        <f>Productos!B156</f>
        <v/>
      </c>
      <c r="B158" s="16" t="str">
        <f>Productos!C156</f>
        <v/>
      </c>
      <c r="C158" s="16" t="str">
        <f>Productos!E156</f>
        <v/>
      </c>
      <c r="D158" s="13" t="str">
        <f>Productos!F156</f>
        <v/>
      </c>
      <c r="E158" s="13" t="str">
        <f>Productos!G156</f>
        <v/>
      </c>
      <c r="F158" s="19"/>
      <c r="G158" s="13">
        <f t="shared" si="2"/>
        <v>0</v>
      </c>
      <c r="H158" s="13">
        <f t="shared" si="3"/>
        <v>0</v>
      </c>
      <c r="I158" s="13">
        <f t="shared" si="4"/>
        <v>0</v>
      </c>
      <c r="J158" s="12"/>
      <c r="K158" s="18" t="str">
        <f>IFERROR(VLOOKUP(A158,Proveedores!B156:H369,3,0), "")</f>
        <v/>
      </c>
    </row>
    <row r="159" ht="21.75" customHeight="1">
      <c r="A159" s="16" t="str">
        <f>Productos!B157</f>
        <v/>
      </c>
      <c r="B159" s="16" t="str">
        <f>Productos!C157</f>
        <v/>
      </c>
      <c r="C159" s="16" t="str">
        <f>Productos!E157</f>
        <v/>
      </c>
      <c r="D159" s="13" t="str">
        <f>Productos!F157</f>
        <v/>
      </c>
      <c r="E159" s="13" t="str">
        <f>Productos!G157</f>
        <v/>
      </c>
      <c r="F159" s="19"/>
      <c r="G159" s="13">
        <f t="shared" si="2"/>
        <v>0</v>
      </c>
      <c r="H159" s="13">
        <f t="shared" si="3"/>
        <v>0</v>
      </c>
      <c r="I159" s="13">
        <f t="shared" si="4"/>
        <v>0</v>
      </c>
      <c r="J159" s="12"/>
      <c r="K159" s="18" t="str">
        <f>IFERROR(VLOOKUP(A159,Proveedores!B157:H370,3,0), "")</f>
        <v/>
      </c>
    </row>
    <row r="160" ht="21.75" customHeight="1">
      <c r="A160" s="16" t="str">
        <f>Productos!B158</f>
        <v/>
      </c>
      <c r="B160" s="16" t="str">
        <f>Productos!C158</f>
        <v/>
      </c>
      <c r="C160" s="16" t="str">
        <f>Productos!E158</f>
        <v/>
      </c>
      <c r="D160" s="13" t="str">
        <f>Productos!F158</f>
        <v/>
      </c>
      <c r="E160" s="13" t="str">
        <f>Productos!G158</f>
        <v/>
      </c>
      <c r="F160" s="19"/>
      <c r="G160" s="13">
        <f t="shared" si="2"/>
        <v>0</v>
      </c>
      <c r="H160" s="13">
        <f t="shared" si="3"/>
        <v>0</v>
      </c>
      <c r="I160" s="13">
        <f t="shared" si="4"/>
        <v>0</v>
      </c>
      <c r="J160" s="12"/>
      <c r="K160" s="18" t="str">
        <f>IFERROR(VLOOKUP(A160,Proveedores!B158:H371,3,0), "")</f>
        <v/>
      </c>
    </row>
    <row r="161" ht="21.75" customHeight="1">
      <c r="A161" s="16" t="str">
        <f>Productos!B159</f>
        <v/>
      </c>
      <c r="B161" s="16" t="str">
        <f>Productos!C159</f>
        <v/>
      </c>
      <c r="C161" s="16" t="str">
        <f>Productos!E159</f>
        <v/>
      </c>
      <c r="D161" s="13" t="str">
        <f>Productos!F159</f>
        <v/>
      </c>
      <c r="E161" s="13" t="str">
        <f>Productos!G159</f>
        <v/>
      </c>
      <c r="F161" s="19"/>
      <c r="G161" s="13">
        <f t="shared" si="2"/>
        <v>0</v>
      </c>
      <c r="H161" s="13">
        <f t="shared" si="3"/>
        <v>0</v>
      </c>
      <c r="I161" s="13">
        <f t="shared" si="4"/>
        <v>0</v>
      </c>
      <c r="J161" s="12"/>
      <c r="K161" s="18" t="str">
        <f>IFERROR(VLOOKUP(A161,Proveedores!B159:H372,3,0), "")</f>
        <v/>
      </c>
    </row>
    <row r="162" ht="21.75" customHeight="1">
      <c r="A162" s="16" t="str">
        <f>Productos!B160</f>
        <v/>
      </c>
      <c r="B162" s="16" t="str">
        <f>Productos!C160</f>
        <v/>
      </c>
      <c r="C162" s="16" t="str">
        <f>Productos!E160</f>
        <v/>
      </c>
      <c r="D162" s="13" t="str">
        <f>Productos!F160</f>
        <v/>
      </c>
      <c r="E162" s="13" t="str">
        <f>Productos!G160</f>
        <v/>
      </c>
      <c r="F162" s="19"/>
      <c r="G162" s="13">
        <f t="shared" si="2"/>
        <v>0</v>
      </c>
      <c r="H162" s="13">
        <f t="shared" si="3"/>
        <v>0</v>
      </c>
      <c r="I162" s="13">
        <f t="shared" si="4"/>
        <v>0</v>
      </c>
      <c r="J162" s="12"/>
      <c r="K162" s="18" t="str">
        <f>IFERROR(VLOOKUP(A162,Proveedores!B160:H373,3,0), "")</f>
        <v/>
      </c>
    </row>
    <row r="163" ht="21.75" customHeight="1">
      <c r="A163" s="16" t="str">
        <f>Productos!B161</f>
        <v/>
      </c>
      <c r="B163" s="16" t="str">
        <f>Productos!C161</f>
        <v/>
      </c>
      <c r="C163" s="16" t="str">
        <f>Productos!E161</f>
        <v/>
      </c>
      <c r="D163" s="13" t="str">
        <f>Productos!F161</f>
        <v/>
      </c>
      <c r="E163" s="13" t="str">
        <f>Productos!G161</f>
        <v/>
      </c>
      <c r="F163" s="19"/>
      <c r="G163" s="13">
        <f t="shared" si="2"/>
        <v>0</v>
      </c>
      <c r="H163" s="13">
        <f t="shared" si="3"/>
        <v>0</v>
      </c>
      <c r="I163" s="13">
        <f t="shared" si="4"/>
        <v>0</v>
      </c>
      <c r="J163" s="12"/>
      <c r="K163" s="18" t="str">
        <f>IFERROR(VLOOKUP(A163,Proveedores!B161:H374,3,0), "")</f>
        <v/>
      </c>
    </row>
    <row r="164" ht="21.75" customHeight="1">
      <c r="A164" s="16" t="str">
        <f>Productos!B162</f>
        <v/>
      </c>
      <c r="B164" s="16" t="str">
        <f>Productos!C162</f>
        <v/>
      </c>
      <c r="C164" s="16" t="str">
        <f>Productos!E162</f>
        <v/>
      </c>
      <c r="D164" s="13" t="str">
        <f>Productos!F162</f>
        <v/>
      </c>
      <c r="E164" s="13" t="str">
        <f>Productos!G162</f>
        <v/>
      </c>
      <c r="F164" s="19"/>
      <c r="G164" s="13">
        <f t="shared" si="2"/>
        <v>0</v>
      </c>
      <c r="H164" s="13">
        <f t="shared" si="3"/>
        <v>0</v>
      </c>
      <c r="I164" s="13">
        <f t="shared" si="4"/>
        <v>0</v>
      </c>
      <c r="J164" s="12"/>
      <c r="K164" s="18" t="str">
        <f>IFERROR(VLOOKUP(A164,Proveedores!B162:H375,3,0), "")</f>
        <v/>
      </c>
    </row>
    <row r="165" ht="21.75" customHeight="1">
      <c r="A165" s="16" t="str">
        <f>Productos!B163</f>
        <v/>
      </c>
      <c r="B165" s="16" t="str">
        <f>Productos!C163</f>
        <v/>
      </c>
      <c r="C165" s="16" t="str">
        <f>Productos!E163</f>
        <v/>
      </c>
      <c r="D165" s="13" t="str">
        <f>Productos!F163</f>
        <v/>
      </c>
      <c r="E165" s="13" t="str">
        <f>Productos!G163</f>
        <v/>
      </c>
      <c r="F165" s="19"/>
      <c r="G165" s="13">
        <f t="shared" si="2"/>
        <v>0</v>
      </c>
      <c r="H165" s="13">
        <f t="shared" si="3"/>
        <v>0</v>
      </c>
      <c r="I165" s="13">
        <f t="shared" si="4"/>
        <v>0</v>
      </c>
      <c r="J165" s="12"/>
      <c r="K165" s="18" t="str">
        <f>IFERROR(VLOOKUP(A165,Proveedores!B163:H376,3,0), "")</f>
        <v/>
      </c>
    </row>
    <row r="166" ht="21.75" customHeight="1">
      <c r="A166" s="16" t="str">
        <f>Productos!B164</f>
        <v/>
      </c>
      <c r="B166" s="16" t="str">
        <f>Productos!C164</f>
        <v/>
      </c>
      <c r="C166" s="16" t="str">
        <f>Productos!E164</f>
        <v/>
      </c>
      <c r="D166" s="13" t="str">
        <f>Productos!F164</f>
        <v/>
      </c>
      <c r="E166" s="13" t="str">
        <f>Productos!G164</f>
        <v/>
      </c>
      <c r="F166" s="19"/>
      <c r="G166" s="13">
        <f t="shared" si="2"/>
        <v>0</v>
      </c>
      <c r="H166" s="13">
        <f t="shared" si="3"/>
        <v>0</v>
      </c>
      <c r="I166" s="13">
        <f t="shared" si="4"/>
        <v>0</v>
      </c>
      <c r="J166" s="12"/>
      <c r="K166" s="18" t="str">
        <f>IFERROR(VLOOKUP(A166,Proveedores!B164:H377,3,0), "")</f>
        <v/>
      </c>
    </row>
    <row r="167" ht="21.75" customHeight="1">
      <c r="A167" s="16" t="str">
        <f>Productos!B165</f>
        <v/>
      </c>
      <c r="B167" s="16" t="str">
        <f>Productos!C165</f>
        <v/>
      </c>
      <c r="C167" s="16" t="str">
        <f>Productos!E165</f>
        <v/>
      </c>
      <c r="D167" s="13" t="str">
        <f>Productos!F165</f>
        <v/>
      </c>
      <c r="E167" s="13" t="str">
        <f>Productos!G165</f>
        <v/>
      </c>
      <c r="F167" s="19"/>
      <c r="G167" s="13">
        <f t="shared" si="2"/>
        <v>0</v>
      </c>
      <c r="H167" s="13">
        <f t="shared" si="3"/>
        <v>0</v>
      </c>
      <c r="I167" s="13">
        <f t="shared" si="4"/>
        <v>0</v>
      </c>
      <c r="J167" s="12"/>
      <c r="K167" s="18" t="str">
        <f>IFERROR(VLOOKUP(A167,Proveedores!B165:H378,3,0), "")</f>
        <v/>
      </c>
    </row>
    <row r="168" ht="21.75" customHeight="1">
      <c r="A168" s="16" t="str">
        <f>Productos!B166</f>
        <v/>
      </c>
      <c r="B168" s="16" t="str">
        <f>Productos!C166</f>
        <v/>
      </c>
      <c r="C168" s="16" t="str">
        <f>Productos!E166</f>
        <v/>
      </c>
      <c r="D168" s="13" t="str">
        <f>Productos!F166</f>
        <v/>
      </c>
      <c r="E168" s="13" t="str">
        <f>Productos!G166</f>
        <v/>
      </c>
      <c r="F168" s="19"/>
      <c r="G168" s="13">
        <f t="shared" si="2"/>
        <v>0</v>
      </c>
      <c r="H168" s="13">
        <f t="shared" si="3"/>
        <v>0</v>
      </c>
      <c r="I168" s="13">
        <f t="shared" si="4"/>
        <v>0</v>
      </c>
      <c r="J168" s="12"/>
      <c r="K168" s="18" t="str">
        <f>IFERROR(VLOOKUP(A168,Proveedores!B166:H379,3,0), "")</f>
        <v/>
      </c>
    </row>
    <row r="169" ht="21.75" customHeight="1">
      <c r="A169" s="16" t="str">
        <f>Productos!B167</f>
        <v/>
      </c>
      <c r="B169" s="16" t="str">
        <f>Productos!C167</f>
        <v/>
      </c>
      <c r="C169" s="16" t="str">
        <f>Productos!E167</f>
        <v/>
      </c>
      <c r="D169" s="13" t="str">
        <f>Productos!F167</f>
        <v/>
      </c>
      <c r="E169" s="13" t="str">
        <f>Productos!G167</f>
        <v/>
      </c>
      <c r="F169" s="19"/>
      <c r="G169" s="13">
        <f t="shared" si="2"/>
        <v>0</v>
      </c>
      <c r="H169" s="13">
        <f t="shared" si="3"/>
        <v>0</v>
      </c>
      <c r="I169" s="13">
        <f t="shared" si="4"/>
        <v>0</v>
      </c>
      <c r="J169" s="12"/>
      <c r="K169" s="18" t="str">
        <f>IFERROR(VLOOKUP(A169,Proveedores!B167:H380,3,0), "")</f>
        <v/>
      </c>
    </row>
    <row r="170" ht="21.75" customHeight="1">
      <c r="A170" s="16" t="str">
        <f>Productos!B168</f>
        <v/>
      </c>
      <c r="B170" s="16" t="str">
        <f>Productos!C168</f>
        <v/>
      </c>
      <c r="C170" s="16" t="str">
        <f>Productos!E168</f>
        <v/>
      </c>
      <c r="D170" s="13" t="str">
        <f>Productos!F168</f>
        <v/>
      </c>
      <c r="E170" s="13" t="str">
        <f>Productos!G168</f>
        <v/>
      </c>
      <c r="F170" s="19"/>
      <c r="G170" s="13">
        <f t="shared" si="2"/>
        <v>0</v>
      </c>
      <c r="H170" s="13">
        <f t="shared" si="3"/>
        <v>0</v>
      </c>
      <c r="I170" s="13">
        <f t="shared" si="4"/>
        <v>0</v>
      </c>
      <c r="J170" s="12"/>
      <c r="K170" s="18" t="str">
        <f>IFERROR(VLOOKUP(A170,Proveedores!B168:H381,3,0), "")</f>
        <v/>
      </c>
    </row>
    <row r="171" ht="21.75" customHeight="1">
      <c r="A171" s="16" t="str">
        <f>Productos!B169</f>
        <v/>
      </c>
      <c r="B171" s="16" t="str">
        <f>Productos!C169</f>
        <v/>
      </c>
      <c r="C171" s="16" t="str">
        <f>Productos!E169</f>
        <v/>
      </c>
      <c r="D171" s="13" t="str">
        <f>Productos!F169</f>
        <v/>
      </c>
      <c r="E171" s="13" t="str">
        <f>Productos!G169</f>
        <v/>
      </c>
      <c r="F171" s="19"/>
      <c r="G171" s="13">
        <f t="shared" si="2"/>
        <v>0</v>
      </c>
      <c r="H171" s="13">
        <f t="shared" si="3"/>
        <v>0</v>
      </c>
      <c r="I171" s="13">
        <f t="shared" si="4"/>
        <v>0</v>
      </c>
      <c r="J171" s="12"/>
      <c r="K171" s="18" t="str">
        <f>IFERROR(VLOOKUP(A171,Proveedores!B169:H382,3,0), "")</f>
        <v/>
      </c>
    </row>
    <row r="172" ht="21.75" customHeight="1">
      <c r="A172" s="16" t="str">
        <f>Productos!B170</f>
        <v/>
      </c>
      <c r="B172" s="16" t="str">
        <f>Productos!C170</f>
        <v/>
      </c>
      <c r="C172" s="16" t="str">
        <f>Productos!E170</f>
        <v/>
      </c>
      <c r="D172" s="13" t="str">
        <f>Productos!F170</f>
        <v/>
      </c>
      <c r="E172" s="13" t="str">
        <f>Productos!G170</f>
        <v/>
      </c>
      <c r="F172" s="19"/>
      <c r="G172" s="13">
        <f t="shared" si="2"/>
        <v>0</v>
      </c>
      <c r="H172" s="13">
        <f t="shared" si="3"/>
        <v>0</v>
      </c>
      <c r="I172" s="13">
        <f t="shared" si="4"/>
        <v>0</v>
      </c>
      <c r="J172" s="12"/>
      <c r="K172" s="18" t="str">
        <f>IFERROR(VLOOKUP(A172,Proveedores!B170:H383,3,0), "")</f>
        <v/>
      </c>
    </row>
    <row r="173" ht="21.75" customHeight="1">
      <c r="A173" s="16" t="str">
        <f>Productos!B171</f>
        <v/>
      </c>
      <c r="B173" s="16" t="str">
        <f>Productos!C171</f>
        <v/>
      </c>
      <c r="C173" s="16" t="str">
        <f>Productos!E171</f>
        <v/>
      </c>
      <c r="D173" s="13" t="str">
        <f>Productos!F171</f>
        <v/>
      </c>
      <c r="E173" s="13" t="str">
        <f>Productos!G171</f>
        <v/>
      </c>
      <c r="F173" s="19"/>
      <c r="G173" s="13">
        <f t="shared" si="2"/>
        <v>0</v>
      </c>
      <c r="H173" s="13">
        <f t="shared" si="3"/>
        <v>0</v>
      </c>
      <c r="I173" s="13">
        <f t="shared" si="4"/>
        <v>0</v>
      </c>
      <c r="J173" s="12"/>
      <c r="K173" s="18" t="str">
        <f>IFERROR(VLOOKUP(A173,Proveedores!B171:H384,3,0), "")</f>
        <v/>
      </c>
    </row>
    <row r="174" ht="21.75" customHeight="1">
      <c r="A174" s="16" t="str">
        <f>Productos!B172</f>
        <v/>
      </c>
      <c r="B174" s="16" t="str">
        <f>Productos!C172</f>
        <v/>
      </c>
      <c r="C174" s="16" t="str">
        <f>Productos!E172</f>
        <v/>
      </c>
      <c r="D174" s="13" t="str">
        <f>Productos!F172</f>
        <v/>
      </c>
      <c r="E174" s="13" t="str">
        <f>Productos!G172</f>
        <v/>
      </c>
      <c r="F174" s="19"/>
      <c r="G174" s="13">
        <f t="shared" si="2"/>
        <v>0</v>
      </c>
      <c r="H174" s="13">
        <f t="shared" si="3"/>
        <v>0</v>
      </c>
      <c r="I174" s="13">
        <f t="shared" si="4"/>
        <v>0</v>
      </c>
      <c r="J174" s="12"/>
      <c r="K174" s="18" t="str">
        <f>IFERROR(VLOOKUP(A174,Proveedores!B172:H385,3,0), "")</f>
        <v/>
      </c>
    </row>
    <row r="175" ht="21.75" customHeight="1">
      <c r="A175" s="16" t="str">
        <f>Productos!B173</f>
        <v/>
      </c>
      <c r="B175" s="16" t="str">
        <f>Productos!C173</f>
        <v/>
      </c>
      <c r="C175" s="16" t="str">
        <f>Productos!E173</f>
        <v/>
      </c>
      <c r="D175" s="13" t="str">
        <f>Productos!F173</f>
        <v/>
      </c>
      <c r="E175" s="13" t="str">
        <f>Productos!G173</f>
        <v/>
      </c>
      <c r="F175" s="19"/>
      <c r="G175" s="13">
        <f t="shared" si="2"/>
        <v>0</v>
      </c>
      <c r="H175" s="13">
        <f t="shared" si="3"/>
        <v>0</v>
      </c>
      <c r="I175" s="13">
        <f t="shared" si="4"/>
        <v>0</v>
      </c>
      <c r="J175" s="12"/>
      <c r="K175" s="18" t="str">
        <f>IFERROR(VLOOKUP(A175,Proveedores!B173:H386,3,0), "")</f>
        <v/>
      </c>
    </row>
    <row r="176" ht="21.75" customHeight="1">
      <c r="A176" s="16" t="str">
        <f>Productos!B174</f>
        <v/>
      </c>
      <c r="B176" s="16" t="str">
        <f>Productos!C174</f>
        <v/>
      </c>
      <c r="C176" s="16" t="str">
        <f>Productos!E174</f>
        <v/>
      </c>
      <c r="D176" s="13" t="str">
        <f>Productos!F174</f>
        <v/>
      </c>
      <c r="E176" s="13" t="str">
        <f>Productos!G174</f>
        <v/>
      </c>
      <c r="F176" s="19"/>
      <c r="G176" s="13">
        <f t="shared" si="2"/>
        <v>0</v>
      </c>
      <c r="H176" s="13">
        <f t="shared" si="3"/>
        <v>0</v>
      </c>
      <c r="I176" s="13">
        <f t="shared" si="4"/>
        <v>0</v>
      </c>
      <c r="J176" s="12"/>
      <c r="K176" s="18" t="str">
        <f>IFERROR(VLOOKUP(A176,Proveedores!B174:H387,3,0), "")</f>
        <v/>
      </c>
    </row>
    <row r="177" ht="21.75" customHeight="1">
      <c r="A177" s="16" t="str">
        <f>Productos!B175</f>
        <v/>
      </c>
      <c r="B177" s="16" t="str">
        <f>Productos!C175</f>
        <v/>
      </c>
      <c r="C177" s="16" t="str">
        <f>Productos!E175</f>
        <v/>
      </c>
      <c r="D177" s="13" t="str">
        <f>Productos!F175</f>
        <v/>
      </c>
      <c r="E177" s="13" t="str">
        <f>Productos!G175</f>
        <v/>
      </c>
      <c r="F177" s="19"/>
      <c r="G177" s="13">
        <f t="shared" si="2"/>
        <v>0</v>
      </c>
      <c r="H177" s="13">
        <f t="shared" si="3"/>
        <v>0</v>
      </c>
      <c r="I177" s="13">
        <f t="shared" si="4"/>
        <v>0</v>
      </c>
      <c r="J177" s="12"/>
      <c r="K177" s="18" t="str">
        <f>IFERROR(VLOOKUP(A177,Proveedores!B175:H388,3,0), "")</f>
        <v/>
      </c>
    </row>
    <row r="178" ht="21.75" customHeight="1">
      <c r="A178" s="16" t="str">
        <f>Productos!B176</f>
        <v/>
      </c>
      <c r="B178" s="16" t="str">
        <f>Productos!C176</f>
        <v/>
      </c>
      <c r="C178" s="16" t="str">
        <f>Productos!E176</f>
        <v/>
      </c>
      <c r="D178" s="13" t="str">
        <f>Productos!F176</f>
        <v/>
      </c>
      <c r="E178" s="13" t="str">
        <f>Productos!G176</f>
        <v/>
      </c>
      <c r="F178" s="19"/>
      <c r="G178" s="13">
        <f t="shared" si="2"/>
        <v>0</v>
      </c>
      <c r="H178" s="13">
        <f t="shared" si="3"/>
        <v>0</v>
      </c>
      <c r="I178" s="13">
        <f t="shared" si="4"/>
        <v>0</v>
      </c>
      <c r="J178" s="12"/>
      <c r="K178" s="18" t="str">
        <f>IFERROR(VLOOKUP(A178,Proveedores!B176:H389,3,0), "")</f>
        <v/>
      </c>
    </row>
    <row r="179" ht="21.75" customHeight="1">
      <c r="A179" s="16" t="str">
        <f>Productos!B177</f>
        <v/>
      </c>
      <c r="B179" s="16" t="str">
        <f>Productos!C177</f>
        <v/>
      </c>
      <c r="C179" s="16" t="str">
        <f>Productos!E177</f>
        <v/>
      </c>
      <c r="D179" s="13" t="str">
        <f>Productos!F177</f>
        <v/>
      </c>
      <c r="E179" s="13" t="str">
        <f>Productos!G177</f>
        <v/>
      </c>
      <c r="F179" s="19"/>
      <c r="G179" s="13">
        <f t="shared" si="2"/>
        <v>0</v>
      </c>
      <c r="H179" s="13">
        <f t="shared" si="3"/>
        <v>0</v>
      </c>
      <c r="I179" s="13">
        <f t="shared" si="4"/>
        <v>0</v>
      </c>
      <c r="J179" s="12"/>
      <c r="K179" s="18" t="str">
        <f>IFERROR(VLOOKUP(A179,Proveedores!B177:H390,3,0), "")</f>
        <v/>
      </c>
    </row>
    <row r="180" ht="21.75" customHeight="1">
      <c r="A180" s="16" t="str">
        <f>Productos!B178</f>
        <v/>
      </c>
      <c r="B180" s="16" t="str">
        <f>Productos!C178</f>
        <v/>
      </c>
      <c r="C180" s="16" t="str">
        <f>Productos!E178</f>
        <v/>
      </c>
      <c r="D180" s="13" t="str">
        <f>Productos!F178</f>
        <v/>
      </c>
      <c r="E180" s="13" t="str">
        <f>Productos!G178</f>
        <v/>
      </c>
      <c r="F180" s="19"/>
      <c r="G180" s="13">
        <f t="shared" si="2"/>
        <v>0</v>
      </c>
      <c r="H180" s="13">
        <f t="shared" si="3"/>
        <v>0</v>
      </c>
      <c r="I180" s="13">
        <f t="shared" si="4"/>
        <v>0</v>
      </c>
      <c r="J180" s="12"/>
      <c r="K180" s="18" t="str">
        <f>IFERROR(VLOOKUP(A180,Proveedores!B178:H391,3,0), "")</f>
        <v/>
      </c>
    </row>
    <row r="181" ht="21.75" customHeight="1">
      <c r="A181" s="16" t="str">
        <f>Productos!B179</f>
        <v/>
      </c>
      <c r="B181" s="16" t="str">
        <f>Productos!C179</f>
        <v/>
      </c>
      <c r="C181" s="16" t="str">
        <f>Productos!E179</f>
        <v/>
      </c>
      <c r="D181" s="13" t="str">
        <f>Productos!F179</f>
        <v/>
      </c>
      <c r="E181" s="13" t="str">
        <f>Productos!G179</f>
        <v/>
      </c>
      <c r="F181" s="19"/>
      <c r="G181" s="13">
        <f t="shared" si="2"/>
        <v>0</v>
      </c>
      <c r="H181" s="13">
        <f t="shared" si="3"/>
        <v>0</v>
      </c>
      <c r="I181" s="13">
        <f t="shared" si="4"/>
        <v>0</v>
      </c>
      <c r="J181" s="12"/>
      <c r="K181" s="18" t="str">
        <f>IFERROR(VLOOKUP(A181,Proveedores!B179:H392,3,0), "")</f>
        <v/>
      </c>
    </row>
    <row r="182" ht="21.75" customHeight="1">
      <c r="A182" s="16" t="str">
        <f>Productos!B180</f>
        <v/>
      </c>
      <c r="B182" s="16" t="str">
        <f>Productos!C180</f>
        <v/>
      </c>
      <c r="C182" s="16" t="str">
        <f>Productos!E180</f>
        <v/>
      </c>
      <c r="D182" s="13" t="str">
        <f>Productos!F180</f>
        <v/>
      </c>
      <c r="E182" s="13" t="str">
        <f>Productos!G180</f>
        <v/>
      </c>
      <c r="F182" s="19"/>
      <c r="G182" s="13">
        <f t="shared" si="2"/>
        <v>0</v>
      </c>
      <c r="H182" s="13">
        <f t="shared" si="3"/>
        <v>0</v>
      </c>
      <c r="I182" s="13">
        <f t="shared" si="4"/>
        <v>0</v>
      </c>
      <c r="J182" s="12"/>
      <c r="K182" s="18" t="str">
        <f>IFERROR(VLOOKUP(A182,Proveedores!B180:H393,3,0), "")</f>
        <v/>
      </c>
    </row>
    <row r="183" ht="21.75" customHeight="1">
      <c r="A183" s="16" t="str">
        <f>Productos!B181</f>
        <v/>
      </c>
      <c r="B183" s="16" t="str">
        <f>Productos!C181</f>
        <v/>
      </c>
      <c r="C183" s="16" t="str">
        <f>Productos!E181</f>
        <v/>
      </c>
      <c r="D183" s="13" t="str">
        <f>Productos!F181</f>
        <v/>
      </c>
      <c r="E183" s="13" t="str">
        <f>Productos!G181</f>
        <v/>
      </c>
      <c r="F183" s="19"/>
      <c r="G183" s="13">
        <f t="shared" si="2"/>
        <v>0</v>
      </c>
      <c r="H183" s="13">
        <f t="shared" si="3"/>
        <v>0</v>
      </c>
      <c r="I183" s="13">
        <f t="shared" si="4"/>
        <v>0</v>
      </c>
      <c r="J183" s="12"/>
      <c r="K183" s="18" t="str">
        <f>IFERROR(VLOOKUP(A183,Proveedores!B181:H394,3,0), "")</f>
        <v/>
      </c>
    </row>
    <row r="184" ht="21.75" customHeight="1">
      <c r="A184" s="16" t="str">
        <f>Productos!B182</f>
        <v/>
      </c>
      <c r="B184" s="16" t="str">
        <f>Productos!C182</f>
        <v/>
      </c>
      <c r="C184" s="16" t="str">
        <f>Productos!E182</f>
        <v/>
      </c>
      <c r="D184" s="13" t="str">
        <f>Productos!F182</f>
        <v/>
      </c>
      <c r="E184" s="13" t="str">
        <f>Productos!G182</f>
        <v/>
      </c>
      <c r="F184" s="19"/>
      <c r="G184" s="13">
        <f t="shared" si="2"/>
        <v>0</v>
      </c>
      <c r="H184" s="13">
        <f t="shared" si="3"/>
        <v>0</v>
      </c>
      <c r="I184" s="13">
        <f t="shared" si="4"/>
        <v>0</v>
      </c>
      <c r="J184" s="12"/>
      <c r="K184" s="18" t="str">
        <f>IFERROR(VLOOKUP(A184,Proveedores!B182:H395,3,0), "")</f>
        <v/>
      </c>
    </row>
    <row r="185" ht="21.75" customHeight="1">
      <c r="A185" s="16" t="str">
        <f>Productos!B183</f>
        <v/>
      </c>
      <c r="B185" s="16" t="str">
        <f>Productos!C183</f>
        <v/>
      </c>
      <c r="C185" s="16" t="str">
        <f>Productos!E183</f>
        <v/>
      </c>
      <c r="D185" s="13" t="str">
        <f>Productos!F183</f>
        <v/>
      </c>
      <c r="E185" s="13" t="str">
        <f>Productos!G183</f>
        <v/>
      </c>
      <c r="F185" s="19"/>
      <c r="G185" s="13">
        <f t="shared" si="2"/>
        <v>0</v>
      </c>
      <c r="H185" s="13">
        <f t="shared" si="3"/>
        <v>0</v>
      </c>
      <c r="I185" s="13">
        <f t="shared" si="4"/>
        <v>0</v>
      </c>
      <c r="J185" s="12"/>
      <c r="K185" s="18" t="str">
        <f>IFERROR(VLOOKUP(A185,Proveedores!B183:H396,3,0), "")</f>
        <v/>
      </c>
    </row>
    <row r="186" ht="21.75" customHeight="1">
      <c r="A186" s="16" t="str">
        <f>Productos!B184</f>
        <v/>
      </c>
      <c r="B186" s="16" t="str">
        <f>Productos!C184</f>
        <v/>
      </c>
      <c r="C186" s="16" t="str">
        <f>Productos!E184</f>
        <v/>
      </c>
      <c r="D186" s="13" t="str">
        <f>Productos!F184</f>
        <v/>
      </c>
      <c r="E186" s="13" t="str">
        <f>Productos!G184</f>
        <v/>
      </c>
      <c r="F186" s="19"/>
      <c r="G186" s="13">
        <f t="shared" si="2"/>
        <v>0</v>
      </c>
      <c r="H186" s="13">
        <f t="shared" si="3"/>
        <v>0</v>
      </c>
      <c r="I186" s="13">
        <f t="shared" si="4"/>
        <v>0</v>
      </c>
      <c r="J186" s="12"/>
      <c r="K186" s="18" t="str">
        <f>IFERROR(VLOOKUP(A186,Proveedores!B184:H397,3,0), "")</f>
        <v/>
      </c>
    </row>
    <row r="187" ht="21.75" customHeight="1">
      <c r="A187" s="16" t="str">
        <f>Productos!B185</f>
        <v/>
      </c>
      <c r="B187" s="16" t="str">
        <f>Productos!C185</f>
        <v/>
      </c>
      <c r="C187" s="16" t="str">
        <f>Productos!E185</f>
        <v/>
      </c>
      <c r="D187" s="13" t="str">
        <f>Productos!F185</f>
        <v/>
      </c>
      <c r="E187" s="13" t="str">
        <f>Productos!G185</f>
        <v/>
      </c>
      <c r="F187" s="19"/>
      <c r="G187" s="13">
        <f t="shared" si="2"/>
        <v>0</v>
      </c>
      <c r="H187" s="13">
        <f t="shared" si="3"/>
        <v>0</v>
      </c>
      <c r="I187" s="13">
        <f t="shared" si="4"/>
        <v>0</v>
      </c>
      <c r="J187" s="12"/>
      <c r="K187" s="18" t="str">
        <f>IFERROR(VLOOKUP(A187,Proveedores!B185:H398,3,0), "")</f>
        <v/>
      </c>
    </row>
    <row r="188" ht="21.75" customHeight="1">
      <c r="A188" s="16" t="str">
        <f>Productos!B186</f>
        <v/>
      </c>
      <c r="B188" s="16" t="str">
        <f>Productos!C186</f>
        <v/>
      </c>
      <c r="C188" s="16" t="str">
        <f>Productos!E186</f>
        <v/>
      </c>
      <c r="D188" s="13" t="str">
        <f>Productos!F186</f>
        <v/>
      </c>
      <c r="E188" s="13" t="str">
        <f>Productos!G186</f>
        <v/>
      </c>
      <c r="F188" s="19"/>
      <c r="G188" s="13">
        <f t="shared" si="2"/>
        <v>0</v>
      </c>
      <c r="H188" s="13">
        <f t="shared" si="3"/>
        <v>0</v>
      </c>
      <c r="I188" s="13">
        <f t="shared" si="4"/>
        <v>0</v>
      </c>
      <c r="J188" s="12"/>
      <c r="K188" s="18" t="str">
        <f>IFERROR(VLOOKUP(A188,Proveedores!B186:H399,3,0), "")</f>
        <v/>
      </c>
    </row>
    <row r="189" ht="21.75" customHeight="1">
      <c r="A189" s="16" t="str">
        <f>Productos!B187</f>
        <v/>
      </c>
      <c r="B189" s="16" t="str">
        <f>Productos!C187</f>
        <v/>
      </c>
      <c r="C189" s="16" t="str">
        <f>Productos!E187</f>
        <v/>
      </c>
      <c r="D189" s="13" t="str">
        <f>Productos!F187</f>
        <v/>
      </c>
      <c r="E189" s="13" t="str">
        <f>Productos!G187</f>
        <v/>
      </c>
      <c r="F189" s="19"/>
      <c r="G189" s="13">
        <f t="shared" si="2"/>
        <v>0</v>
      </c>
      <c r="H189" s="13">
        <f t="shared" si="3"/>
        <v>0</v>
      </c>
      <c r="I189" s="13">
        <f t="shared" si="4"/>
        <v>0</v>
      </c>
      <c r="J189" s="12"/>
      <c r="K189" s="18" t="str">
        <f>IFERROR(VLOOKUP(A189,Proveedores!B187:H400,3,0), "")</f>
        <v/>
      </c>
    </row>
    <row r="190" ht="21.75" customHeight="1">
      <c r="A190" s="16" t="str">
        <f>Productos!B188</f>
        <v/>
      </c>
      <c r="B190" s="16" t="str">
        <f>Productos!C188</f>
        <v/>
      </c>
      <c r="C190" s="16" t="str">
        <f>Productos!E188</f>
        <v/>
      </c>
      <c r="D190" s="13" t="str">
        <f>Productos!F188</f>
        <v/>
      </c>
      <c r="E190" s="13" t="str">
        <f>Productos!G188</f>
        <v/>
      </c>
      <c r="F190" s="19"/>
      <c r="G190" s="13">
        <f t="shared" si="2"/>
        <v>0</v>
      </c>
      <c r="H190" s="13">
        <f t="shared" si="3"/>
        <v>0</v>
      </c>
      <c r="I190" s="13">
        <f t="shared" si="4"/>
        <v>0</v>
      </c>
      <c r="J190" s="12"/>
      <c r="K190" s="18" t="str">
        <f>IFERROR(VLOOKUP(A190,Proveedores!B188:H401,3,0), "")</f>
        <v/>
      </c>
    </row>
    <row r="191" ht="21.75" customHeight="1">
      <c r="A191" s="16" t="str">
        <f>Productos!B189</f>
        <v/>
      </c>
      <c r="B191" s="16" t="str">
        <f>Productos!C189</f>
        <v/>
      </c>
      <c r="C191" s="16" t="str">
        <f>Productos!E189</f>
        <v/>
      </c>
      <c r="D191" s="13" t="str">
        <f>Productos!F189</f>
        <v/>
      </c>
      <c r="E191" s="13" t="str">
        <f>Productos!G189</f>
        <v/>
      </c>
      <c r="F191" s="19"/>
      <c r="G191" s="13">
        <f t="shared" si="2"/>
        <v>0</v>
      </c>
      <c r="H191" s="13">
        <f t="shared" si="3"/>
        <v>0</v>
      </c>
      <c r="I191" s="13">
        <f t="shared" si="4"/>
        <v>0</v>
      </c>
      <c r="J191" s="12"/>
      <c r="K191" s="18" t="str">
        <f>IFERROR(VLOOKUP(A191,Proveedores!B189:H402,3,0), "")</f>
        <v/>
      </c>
    </row>
    <row r="192" ht="21.75" customHeight="1">
      <c r="A192" s="16" t="str">
        <f>Productos!B190</f>
        <v/>
      </c>
      <c r="B192" s="16" t="str">
        <f>Productos!C190</f>
        <v/>
      </c>
      <c r="C192" s="16" t="str">
        <f>Productos!E190</f>
        <v/>
      </c>
      <c r="D192" s="13" t="str">
        <f>Productos!F190</f>
        <v/>
      </c>
      <c r="E192" s="13" t="str">
        <f>Productos!G190</f>
        <v/>
      </c>
      <c r="F192" s="19"/>
      <c r="G192" s="13">
        <f t="shared" si="2"/>
        <v>0</v>
      </c>
      <c r="H192" s="13">
        <f t="shared" si="3"/>
        <v>0</v>
      </c>
      <c r="I192" s="13">
        <f t="shared" si="4"/>
        <v>0</v>
      </c>
      <c r="J192" s="12"/>
      <c r="K192" s="18" t="str">
        <f>IFERROR(VLOOKUP(A192,Proveedores!B190:H403,3,0), "")</f>
        <v/>
      </c>
    </row>
    <row r="193" ht="21.75" customHeight="1">
      <c r="A193" s="16" t="str">
        <f>Productos!B191</f>
        <v/>
      </c>
      <c r="B193" s="16" t="str">
        <f>Productos!C191</f>
        <v/>
      </c>
      <c r="C193" s="16" t="str">
        <f>Productos!E191</f>
        <v/>
      </c>
      <c r="D193" s="13" t="str">
        <f>Productos!F191</f>
        <v/>
      </c>
      <c r="E193" s="13" t="str">
        <f>Productos!G191</f>
        <v/>
      </c>
      <c r="F193" s="19"/>
      <c r="G193" s="13">
        <f t="shared" si="2"/>
        <v>0</v>
      </c>
      <c r="H193" s="13">
        <f t="shared" si="3"/>
        <v>0</v>
      </c>
      <c r="I193" s="13">
        <f t="shared" si="4"/>
        <v>0</v>
      </c>
      <c r="J193" s="12"/>
      <c r="K193" s="18" t="str">
        <f>IFERROR(VLOOKUP(A193,Proveedores!B191:H404,3,0), "")</f>
        <v/>
      </c>
    </row>
    <row r="194" ht="21.75" customHeight="1">
      <c r="A194" s="16" t="str">
        <f>Productos!B192</f>
        <v/>
      </c>
      <c r="B194" s="16" t="str">
        <f>Productos!C192</f>
        <v/>
      </c>
      <c r="C194" s="16" t="str">
        <f>Productos!E192</f>
        <v/>
      </c>
      <c r="D194" s="13" t="str">
        <f>Productos!F192</f>
        <v/>
      </c>
      <c r="E194" s="13" t="str">
        <f>Productos!G192</f>
        <v/>
      </c>
      <c r="F194" s="19"/>
      <c r="G194" s="13">
        <f t="shared" si="2"/>
        <v>0</v>
      </c>
      <c r="H194" s="13">
        <f t="shared" si="3"/>
        <v>0</v>
      </c>
      <c r="I194" s="13">
        <f t="shared" si="4"/>
        <v>0</v>
      </c>
      <c r="J194" s="12"/>
      <c r="K194" s="18" t="str">
        <f>IFERROR(VLOOKUP(A194,Proveedores!B192:H405,3,0), "")</f>
        <v/>
      </c>
    </row>
    <row r="195" ht="21.75" customHeight="1">
      <c r="A195" s="16" t="str">
        <f>Productos!B193</f>
        <v/>
      </c>
      <c r="B195" s="16" t="str">
        <f>Productos!C193</f>
        <v/>
      </c>
      <c r="C195" s="16" t="str">
        <f>Productos!E193</f>
        <v/>
      </c>
      <c r="D195" s="13" t="str">
        <f>Productos!F193</f>
        <v/>
      </c>
      <c r="E195" s="13" t="str">
        <f>Productos!G193</f>
        <v/>
      </c>
      <c r="F195" s="19"/>
      <c r="G195" s="13">
        <f t="shared" si="2"/>
        <v>0</v>
      </c>
      <c r="H195" s="13">
        <f t="shared" si="3"/>
        <v>0</v>
      </c>
      <c r="I195" s="13">
        <f t="shared" si="4"/>
        <v>0</v>
      </c>
      <c r="J195" s="12"/>
      <c r="K195" s="18" t="str">
        <f>IFERROR(VLOOKUP(A195,Proveedores!B193:H406,3,0), "")</f>
        <v/>
      </c>
    </row>
    <row r="196" ht="21.75" customHeight="1">
      <c r="A196" s="16" t="str">
        <f>Productos!B194</f>
        <v/>
      </c>
      <c r="B196" s="16" t="str">
        <f>Productos!C194</f>
        <v/>
      </c>
      <c r="C196" s="16" t="str">
        <f>Productos!E194</f>
        <v/>
      </c>
      <c r="D196" s="13" t="str">
        <f>Productos!F194</f>
        <v/>
      </c>
      <c r="E196" s="13" t="str">
        <f>Productos!G194</f>
        <v/>
      </c>
      <c r="F196" s="19"/>
      <c r="G196" s="13">
        <f t="shared" si="2"/>
        <v>0</v>
      </c>
      <c r="H196" s="13">
        <f t="shared" si="3"/>
        <v>0</v>
      </c>
      <c r="I196" s="13">
        <f t="shared" si="4"/>
        <v>0</v>
      </c>
      <c r="J196" s="12"/>
      <c r="K196" s="18" t="str">
        <f>IFERROR(VLOOKUP(A196,Proveedores!B194:H407,3,0), "")</f>
        <v/>
      </c>
    </row>
    <row r="197" ht="21.75" customHeight="1">
      <c r="A197" s="16" t="str">
        <f>Productos!B195</f>
        <v/>
      </c>
      <c r="B197" s="16" t="str">
        <f>Productos!C195</f>
        <v/>
      </c>
      <c r="C197" s="16" t="str">
        <f>Productos!E195</f>
        <v/>
      </c>
      <c r="D197" s="13" t="str">
        <f>Productos!F195</f>
        <v/>
      </c>
      <c r="E197" s="13" t="str">
        <f>Productos!G195</f>
        <v/>
      </c>
      <c r="F197" s="19"/>
      <c r="G197" s="13">
        <f t="shared" si="2"/>
        <v>0</v>
      </c>
      <c r="H197" s="13">
        <f t="shared" si="3"/>
        <v>0</v>
      </c>
      <c r="I197" s="13">
        <f t="shared" si="4"/>
        <v>0</v>
      </c>
      <c r="J197" s="12"/>
      <c r="K197" s="18" t="str">
        <f>IFERROR(VLOOKUP(A197,Proveedores!B195:H408,3,0), "")</f>
        <v/>
      </c>
    </row>
    <row r="198" ht="21.75" customHeight="1">
      <c r="A198" s="16" t="str">
        <f>Productos!B196</f>
        <v/>
      </c>
      <c r="B198" s="16" t="str">
        <f>Productos!C196</f>
        <v/>
      </c>
      <c r="C198" s="16" t="str">
        <f>Productos!E196</f>
        <v/>
      </c>
      <c r="D198" s="13" t="str">
        <f>Productos!F196</f>
        <v/>
      </c>
      <c r="E198" s="13" t="str">
        <f>Productos!G196</f>
        <v/>
      </c>
      <c r="F198" s="19"/>
      <c r="G198" s="13">
        <f t="shared" si="2"/>
        <v>0</v>
      </c>
      <c r="H198" s="13">
        <f t="shared" si="3"/>
        <v>0</v>
      </c>
      <c r="I198" s="13">
        <f t="shared" si="4"/>
        <v>0</v>
      </c>
      <c r="J198" s="12"/>
      <c r="K198" s="18" t="str">
        <f>IFERROR(VLOOKUP(A198,Proveedores!B196:H409,3,0), "")</f>
        <v/>
      </c>
    </row>
    <row r="199" ht="21.75" customHeight="1">
      <c r="A199" s="16" t="str">
        <f>Productos!B197</f>
        <v/>
      </c>
      <c r="B199" s="16" t="str">
        <f>Productos!C197</f>
        <v/>
      </c>
      <c r="C199" s="16" t="str">
        <f>Productos!E197</f>
        <v/>
      </c>
      <c r="D199" s="13" t="str">
        <f>Productos!F197</f>
        <v/>
      </c>
      <c r="E199" s="13" t="str">
        <f>Productos!G197</f>
        <v/>
      </c>
      <c r="F199" s="19"/>
      <c r="G199" s="13">
        <f t="shared" si="2"/>
        <v>0</v>
      </c>
      <c r="H199" s="13">
        <f t="shared" si="3"/>
        <v>0</v>
      </c>
      <c r="I199" s="13">
        <f t="shared" si="4"/>
        <v>0</v>
      </c>
      <c r="J199" s="12"/>
      <c r="K199" s="18" t="str">
        <f>IFERROR(VLOOKUP(A199,Proveedores!B197:H410,3,0), "")</f>
        <v/>
      </c>
    </row>
    <row r="200" ht="21.75" customHeight="1">
      <c r="A200" s="16" t="str">
        <f>Productos!B198</f>
        <v/>
      </c>
      <c r="B200" s="16" t="str">
        <f>Productos!C198</f>
        <v/>
      </c>
      <c r="C200" s="16" t="str">
        <f>Productos!E198</f>
        <v/>
      </c>
      <c r="D200" s="13" t="str">
        <f>Productos!F198</f>
        <v/>
      </c>
      <c r="E200" s="13" t="str">
        <f>Productos!G198</f>
        <v/>
      </c>
      <c r="F200" s="19"/>
      <c r="G200" s="13">
        <f t="shared" si="2"/>
        <v>0</v>
      </c>
      <c r="H200" s="13">
        <f t="shared" si="3"/>
        <v>0</v>
      </c>
      <c r="I200" s="13">
        <f t="shared" si="4"/>
        <v>0</v>
      </c>
      <c r="J200" s="12"/>
      <c r="K200" s="18" t="str">
        <f>IFERROR(VLOOKUP(A200,Proveedores!B198:H411,3,0), "")</f>
        <v/>
      </c>
    </row>
    <row r="201" ht="21.75" customHeight="1">
      <c r="A201" s="16" t="str">
        <f>Productos!B199</f>
        <v/>
      </c>
      <c r="B201" s="16" t="str">
        <f>Productos!C199</f>
        <v/>
      </c>
      <c r="C201" s="16" t="str">
        <f>Productos!E199</f>
        <v/>
      </c>
      <c r="D201" s="13" t="str">
        <f>Productos!F199</f>
        <v/>
      </c>
      <c r="E201" s="13" t="str">
        <f>Productos!G199</f>
        <v/>
      </c>
      <c r="F201" s="19"/>
      <c r="G201" s="13">
        <f t="shared" si="2"/>
        <v>0</v>
      </c>
      <c r="H201" s="13">
        <f t="shared" si="3"/>
        <v>0</v>
      </c>
      <c r="I201" s="13">
        <f t="shared" si="4"/>
        <v>0</v>
      </c>
      <c r="J201" s="12"/>
      <c r="K201" s="18" t="str">
        <f>IFERROR(VLOOKUP(A201,Proveedores!B199:H412,3,0), "")</f>
        <v/>
      </c>
    </row>
    <row r="202" ht="21.75" customHeight="1">
      <c r="A202" s="16" t="str">
        <f>Productos!B200</f>
        <v/>
      </c>
      <c r="B202" s="16" t="str">
        <f>Productos!C200</f>
        <v/>
      </c>
      <c r="C202" s="16" t="str">
        <f>Productos!E200</f>
        <v/>
      </c>
      <c r="D202" s="13" t="str">
        <f>Productos!F200</f>
        <v/>
      </c>
      <c r="E202" s="13" t="str">
        <f>Productos!G200</f>
        <v/>
      </c>
      <c r="F202" s="19"/>
      <c r="G202" s="13">
        <f t="shared" si="2"/>
        <v>0</v>
      </c>
      <c r="H202" s="13">
        <f t="shared" si="3"/>
        <v>0</v>
      </c>
      <c r="I202" s="13">
        <f t="shared" si="4"/>
        <v>0</v>
      </c>
      <c r="J202" s="12"/>
      <c r="K202" s="18" t="str">
        <f>IFERROR(VLOOKUP(A202,Proveedores!B200:H413,3,0), "")</f>
        <v/>
      </c>
    </row>
    <row r="203" ht="21.75" customHeight="1">
      <c r="A203" s="16" t="str">
        <f>Productos!B201</f>
        <v/>
      </c>
      <c r="B203" s="16" t="str">
        <f>Productos!C201</f>
        <v/>
      </c>
      <c r="C203" s="16" t="str">
        <f>Productos!E201</f>
        <v/>
      </c>
      <c r="D203" s="13" t="str">
        <f>Productos!F201</f>
        <v/>
      </c>
      <c r="E203" s="13" t="str">
        <f>Productos!G201</f>
        <v/>
      </c>
      <c r="F203" s="19"/>
      <c r="G203" s="13">
        <f t="shared" si="2"/>
        <v>0</v>
      </c>
      <c r="H203" s="13">
        <f t="shared" si="3"/>
        <v>0</v>
      </c>
      <c r="I203" s="13">
        <f t="shared" si="4"/>
        <v>0</v>
      </c>
      <c r="J203" s="12"/>
      <c r="K203" s="18" t="str">
        <f>IFERROR(VLOOKUP(A203,Proveedores!B201:H414,3,0), "")</f>
        <v/>
      </c>
    </row>
    <row r="204" ht="21.75" customHeight="1">
      <c r="A204" s="16" t="str">
        <f>Productos!B202</f>
        <v/>
      </c>
      <c r="B204" s="16" t="str">
        <f>Productos!C202</f>
        <v/>
      </c>
      <c r="C204" s="16" t="str">
        <f>Productos!E202</f>
        <v/>
      </c>
      <c r="D204" s="13" t="str">
        <f>Productos!F202</f>
        <v/>
      </c>
      <c r="E204" s="13" t="str">
        <f>Productos!G202</f>
        <v/>
      </c>
      <c r="F204" s="19"/>
      <c r="G204" s="13">
        <f t="shared" si="2"/>
        <v>0</v>
      </c>
      <c r="H204" s="13">
        <f t="shared" si="3"/>
        <v>0</v>
      </c>
      <c r="I204" s="13">
        <f t="shared" si="4"/>
        <v>0</v>
      </c>
      <c r="J204" s="12"/>
      <c r="K204" s="18" t="str">
        <f>IFERROR(VLOOKUP(A204,Proveedores!B202:H415,3,0), "")</f>
        <v/>
      </c>
    </row>
    <row r="205" ht="21.75" customHeight="1">
      <c r="A205" s="16" t="str">
        <f>Productos!B203</f>
        <v/>
      </c>
      <c r="B205" s="16" t="str">
        <f>Productos!C203</f>
        <v/>
      </c>
      <c r="C205" s="16" t="str">
        <f>Productos!E203</f>
        <v/>
      </c>
      <c r="D205" s="13" t="str">
        <f>Productos!F203</f>
        <v/>
      </c>
      <c r="E205" s="13" t="str">
        <f>Productos!G203</f>
        <v/>
      </c>
      <c r="F205" s="19"/>
      <c r="G205" s="13">
        <f t="shared" si="2"/>
        <v>0</v>
      </c>
      <c r="H205" s="13">
        <f t="shared" si="3"/>
        <v>0</v>
      </c>
      <c r="I205" s="13">
        <f t="shared" si="4"/>
        <v>0</v>
      </c>
      <c r="J205" s="12"/>
      <c r="K205" s="18" t="str">
        <f>IFERROR(VLOOKUP(A205,Proveedores!B203:H416,3,0), "")</f>
        <v/>
      </c>
    </row>
    <row r="206" ht="21.75" customHeight="1">
      <c r="A206" s="16" t="str">
        <f>Productos!B204</f>
        <v/>
      </c>
      <c r="B206" s="16" t="str">
        <f>Productos!C204</f>
        <v/>
      </c>
      <c r="C206" s="16" t="str">
        <f>Productos!E204</f>
        <v/>
      </c>
      <c r="D206" s="13" t="str">
        <f>Productos!F204</f>
        <v/>
      </c>
      <c r="E206" s="13" t="str">
        <f>Productos!G204</f>
        <v/>
      </c>
      <c r="F206" s="19"/>
      <c r="G206" s="13">
        <f t="shared" si="2"/>
        <v>0</v>
      </c>
      <c r="H206" s="13">
        <f t="shared" si="3"/>
        <v>0</v>
      </c>
      <c r="I206" s="13">
        <f t="shared" si="4"/>
        <v>0</v>
      </c>
      <c r="J206" s="12"/>
      <c r="K206" s="18" t="str">
        <f>IFERROR(VLOOKUP(A206,Proveedores!B204:H417,3,0), "")</f>
        <v/>
      </c>
    </row>
    <row r="207" ht="21.75" customHeight="1">
      <c r="A207" s="16" t="str">
        <f>Productos!B205</f>
        <v/>
      </c>
      <c r="B207" s="16" t="str">
        <f>Productos!C205</f>
        <v/>
      </c>
      <c r="C207" s="16" t="str">
        <f>Productos!E205</f>
        <v/>
      </c>
      <c r="D207" s="13" t="str">
        <f>Productos!F205</f>
        <v/>
      </c>
      <c r="E207" s="13" t="str">
        <f>Productos!G205</f>
        <v/>
      </c>
      <c r="F207" s="19"/>
      <c r="G207" s="13">
        <f t="shared" si="2"/>
        <v>0</v>
      </c>
      <c r="H207" s="13">
        <f t="shared" si="3"/>
        <v>0</v>
      </c>
      <c r="I207" s="13">
        <f t="shared" si="4"/>
        <v>0</v>
      </c>
      <c r="J207" s="12"/>
      <c r="K207" s="18" t="str">
        <f>IFERROR(VLOOKUP(A207,Proveedores!B205:H418,3,0), "")</f>
        <v/>
      </c>
    </row>
    <row r="208" ht="21.75" customHeight="1">
      <c r="A208" s="16" t="str">
        <f>Productos!B206</f>
        <v/>
      </c>
      <c r="B208" s="16" t="str">
        <f>Productos!C206</f>
        <v/>
      </c>
      <c r="C208" s="16" t="str">
        <f>Productos!E206</f>
        <v/>
      </c>
      <c r="D208" s="13" t="str">
        <f>Productos!F206</f>
        <v/>
      </c>
      <c r="E208" s="13" t="str">
        <f>Productos!G206</f>
        <v/>
      </c>
      <c r="F208" s="19"/>
      <c r="G208" s="13">
        <f t="shared" si="2"/>
        <v>0</v>
      </c>
      <c r="H208" s="13">
        <f t="shared" si="3"/>
        <v>0</v>
      </c>
      <c r="I208" s="13">
        <f t="shared" si="4"/>
        <v>0</v>
      </c>
      <c r="J208" s="12"/>
      <c r="K208" s="18" t="str">
        <f>IFERROR(VLOOKUP(A208,Proveedores!B206:H419,3,0), "")</f>
        <v/>
      </c>
    </row>
    <row r="209" ht="21.75" customHeight="1">
      <c r="A209" s="16" t="str">
        <f>Productos!B207</f>
        <v/>
      </c>
      <c r="B209" s="16" t="str">
        <f>Productos!C207</f>
        <v/>
      </c>
      <c r="C209" s="16" t="str">
        <f>Productos!E207</f>
        <v/>
      </c>
      <c r="D209" s="13" t="str">
        <f>Productos!F207</f>
        <v/>
      </c>
      <c r="E209" s="13" t="str">
        <f>Productos!G207</f>
        <v/>
      </c>
      <c r="F209" s="19"/>
      <c r="G209" s="13">
        <f t="shared" si="2"/>
        <v>0</v>
      </c>
      <c r="H209" s="13">
        <f t="shared" si="3"/>
        <v>0</v>
      </c>
      <c r="I209" s="13">
        <f t="shared" si="4"/>
        <v>0</v>
      </c>
      <c r="J209" s="12"/>
      <c r="K209" s="18" t="str">
        <f>IFERROR(VLOOKUP(A209,Proveedores!B207:H420,3,0), "")</f>
        <v/>
      </c>
    </row>
    <row r="210" ht="21.75" customHeight="1">
      <c r="A210" s="16" t="str">
        <f>Productos!B208</f>
        <v/>
      </c>
      <c r="B210" s="16" t="str">
        <f>Productos!C208</f>
        <v/>
      </c>
      <c r="C210" s="16" t="str">
        <f>Productos!E208</f>
        <v/>
      </c>
      <c r="D210" s="13" t="str">
        <f>Productos!F208</f>
        <v/>
      </c>
      <c r="E210" s="13" t="str">
        <f>Productos!G208</f>
        <v/>
      </c>
      <c r="F210" s="19"/>
      <c r="G210" s="13">
        <f t="shared" si="2"/>
        <v>0</v>
      </c>
      <c r="H210" s="13">
        <f t="shared" si="3"/>
        <v>0</v>
      </c>
      <c r="I210" s="13">
        <f t="shared" si="4"/>
        <v>0</v>
      </c>
      <c r="J210" s="12"/>
      <c r="K210" s="18" t="str">
        <f>IFERROR(VLOOKUP(A210,Proveedores!B208:H421,3,0), "")</f>
        <v/>
      </c>
    </row>
    <row r="211" ht="21.75" customHeight="1">
      <c r="A211" s="16" t="str">
        <f>Productos!B209</f>
        <v/>
      </c>
      <c r="B211" s="16" t="str">
        <f>Productos!C209</f>
        <v/>
      </c>
      <c r="C211" s="16" t="str">
        <f>Productos!E209</f>
        <v/>
      </c>
      <c r="D211" s="13" t="str">
        <f>Productos!F209</f>
        <v/>
      </c>
      <c r="E211" s="13" t="str">
        <f>Productos!G209</f>
        <v/>
      </c>
      <c r="F211" s="19"/>
      <c r="G211" s="13">
        <f t="shared" si="2"/>
        <v>0</v>
      </c>
      <c r="H211" s="13">
        <f t="shared" si="3"/>
        <v>0</v>
      </c>
      <c r="I211" s="13">
        <f t="shared" si="4"/>
        <v>0</v>
      </c>
      <c r="J211" s="12"/>
      <c r="K211" s="18" t="str">
        <f>IFERROR(VLOOKUP(A211,Proveedores!B209:H422,3,0), "")</f>
        <v/>
      </c>
    </row>
    <row r="212" ht="21.75" customHeight="1">
      <c r="A212" s="16" t="str">
        <f>Productos!B210</f>
        <v/>
      </c>
      <c r="B212" s="16" t="str">
        <f>Productos!C210</f>
        <v/>
      </c>
      <c r="C212" s="16" t="str">
        <f>Productos!E210</f>
        <v/>
      </c>
      <c r="D212" s="13" t="str">
        <f>Productos!F210</f>
        <v/>
      </c>
      <c r="E212" s="13" t="str">
        <f>Productos!G210</f>
        <v/>
      </c>
      <c r="F212" s="19"/>
      <c r="G212" s="13">
        <f t="shared" si="2"/>
        <v>0</v>
      </c>
      <c r="H212" s="13">
        <f t="shared" si="3"/>
        <v>0</v>
      </c>
      <c r="I212" s="13">
        <f t="shared" si="4"/>
        <v>0</v>
      </c>
      <c r="J212" s="12"/>
      <c r="K212" s="18" t="str">
        <f>IFERROR(VLOOKUP(A212,Proveedores!B210:H423,3,0), "")</f>
        <v/>
      </c>
    </row>
    <row r="213" ht="21.75" customHeight="1">
      <c r="A213" s="16" t="str">
        <f>Productos!B211</f>
        <v/>
      </c>
      <c r="B213" s="16" t="str">
        <f>Productos!C211</f>
        <v/>
      </c>
      <c r="C213" s="16" t="str">
        <f>Productos!E211</f>
        <v/>
      </c>
      <c r="D213" s="13" t="str">
        <f>Productos!F211</f>
        <v/>
      </c>
      <c r="E213" s="13" t="str">
        <f>Productos!G211</f>
        <v/>
      </c>
      <c r="F213" s="19"/>
      <c r="G213" s="13">
        <f t="shared" si="2"/>
        <v>0</v>
      </c>
      <c r="H213" s="13">
        <f t="shared" si="3"/>
        <v>0</v>
      </c>
      <c r="I213" s="13">
        <f t="shared" si="4"/>
        <v>0</v>
      </c>
      <c r="J213" s="12"/>
      <c r="K213" s="18" t="str">
        <f>IFERROR(VLOOKUP(A213,Proveedores!B211:H424,3,0), "")</f>
        <v/>
      </c>
    </row>
    <row r="214" ht="21.75" customHeight="1">
      <c r="A214" s="16" t="str">
        <f>Productos!B212</f>
        <v/>
      </c>
      <c r="B214" s="16" t="str">
        <f>Productos!C212</f>
        <v/>
      </c>
      <c r="C214" s="16" t="str">
        <f>Productos!E212</f>
        <v/>
      </c>
      <c r="D214" s="13" t="str">
        <f>Productos!F212</f>
        <v/>
      </c>
      <c r="E214" s="13" t="str">
        <f>Productos!G212</f>
        <v/>
      </c>
      <c r="F214" s="19"/>
      <c r="G214" s="13">
        <f t="shared" si="2"/>
        <v>0</v>
      </c>
      <c r="H214" s="13">
        <f t="shared" si="3"/>
        <v>0</v>
      </c>
      <c r="I214" s="13">
        <f t="shared" si="4"/>
        <v>0</v>
      </c>
      <c r="J214" s="12"/>
      <c r="K214" s="18" t="str">
        <f>IFERROR(VLOOKUP(A214,Proveedores!B212:H425,3,0), "")</f>
        <v/>
      </c>
    </row>
    <row r="215" ht="21.75" customHeight="1">
      <c r="A215" s="16" t="str">
        <f>Productos!B213</f>
        <v/>
      </c>
      <c r="B215" s="16" t="str">
        <f>Productos!C213</f>
        <v/>
      </c>
      <c r="C215" s="16" t="str">
        <f>Productos!E213</f>
        <v/>
      </c>
      <c r="D215" s="13" t="str">
        <f>Productos!F213</f>
        <v/>
      </c>
      <c r="E215" s="13" t="str">
        <f>Productos!G213</f>
        <v/>
      </c>
      <c r="F215" s="19"/>
      <c r="G215" s="13">
        <f t="shared" si="2"/>
        <v>0</v>
      </c>
      <c r="H215" s="13">
        <f t="shared" si="3"/>
        <v>0</v>
      </c>
      <c r="I215" s="13">
        <f t="shared" si="4"/>
        <v>0</v>
      </c>
      <c r="J215" s="12"/>
      <c r="K215" s="18" t="str">
        <f>IFERROR(VLOOKUP(A215,Proveedores!B213:H426,3,0), "")</f>
        <v/>
      </c>
    </row>
    <row r="216" ht="21.75" customHeight="1">
      <c r="A216" s="16" t="str">
        <f>Productos!B214</f>
        <v/>
      </c>
      <c r="B216" s="16" t="str">
        <f>Productos!C214</f>
        <v/>
      </c>
      <c r="C216" s="16" t="str">
        <f>Productos!E214</f>
        <v/>
      </c>
      <c r="D216" s="13" t="str">
        <f>Productos!F214</f>
        <v/>
      </c>
      <c r="E216" s="13" t="str">
        <f>Productos!G214</f>
        <v/>
      </c>
      <c r="F216" s="19"/>
      <c r="G216" s="13">
        <f t="shared" si="2"/>
        <v>0</v>
      </c>
      <c r="H216" s="13">
        <f t="shared" si="3"/>
        <v>0</v>
      </c>
      <c r="I216" s="13">
        <f t="shared" si="4"/>
        <v>0</v>
      </c>
      <c r="J216" s="12"/>
      <c r="K216" s="18" t="str">
        <f>IFERROR(VLOOKUP(A216,Proveedores!B214:H427,3,0), "")</f>
        <v/>
      </c>
    </row>
    <row r="217" ht="21.75" customHeight="1">
      <c r="A217" s="16" t="str">
        <f>Productos!B215</f>
        <v/>
      </c>
      <c r="B217" s="16" t="str">
        <f>Productos!C215</f>
        <v/>
      </c>
      <c r="C217" s="16" t="str">
        <f>Productos!E215</f>
        <v/>
      </c>
      <c r="D217" s="13" t="str">
        <f>Productos!F215</f>
        <v/>
      </c>
      <c r="E217" s="13" t="str">
        <f>Productos!G215</f>
        <v/>
      </c>
      <c r="F217" s="19"/>
      <c r="G217" s="13">
        <f t="shared" si="2"/>
        <v>0</v>
      </c>
      <c r="H217" s="13">
        <f t="shared" si="3"/>
        <v>0</v>
      </c>
      <c r="I217" s="13">
        <f t="shared" si="4"/>
        <v>0</v>
      </c>
      <c r="J217" s="12"/>
      <c r="K217" s="18" t="str">
        <f>IFERROR(VLOOKUP(A217,Proveedores!B215:H428,3,0), "")</f>
        <v/>
      </c>
    </row>
    <row r="218" ht="21.75" customHeight="1">
      <c r="A218" s="16" t="str">
        <f>Productos!B216</f>
        <v/>
      </c>
      <c r="B218" s="16" t="str">
        <f>Productos!C216</f>
        <v/>
      </c>
      <c r="C218" s="16" t="str">
        <f>Productos!E216</f>
        <v/>
      </c>
      <c r="D218" s="13" t="str">
        <f>Productos!F216</f>
        <v/>
      </c>
      <c r="E218" s="13" t="str">
        <f>Productos!G216</f>
        <v/>
      </c>
      <c r="F218" s="19"/>
      <c r="G218" s="13">
        <f t="shared" si="2"/>
        <v>0</v>
      </c>
      <c r="H218" s="13">
        <f t="shared" si="3"/>
        <v>0</v>
      </c>
      <c r="I218" s="13">
        <f t="shared" si="4"/>
        <v>0</v>
      </c>
      <c r="J218" s="12"/>
      <c r="K218" s="18" t="str">
        <f>IFERROR(VLOOKUP(A218,Proveedores!B216:H429,3,0), "")</f>
        <v/>
      </c>
    </row>
    <row r="219" ht="21.75" customHeight="1">
      <c r="A219" s="16" t="str">
        <f>Productos!B217</f>
        <v/>
      </c>
      <c r="B219" s="16" t="str">
        <f>Productos!C217</f>
        <v/>
      </c>
      <c r="C219" s="16" t="str">
        <f>Productos!E217</f>
        <v/>
      </c>
      <c r="D219" s="13" t="str">
        <f>Productos!F217</f>
        <v/>
      </c>
      <c r="E219" s="13" t="str">
        <f>Productos!G217</f>
        <v/>
      </c>
      <c r="F219" s="19"/>
      <c r="G219" s="13">
        <f t="shared" si="2"/>
        <v>0</v>
      </c>
      <c r="H219" s="13">
        <f t="shared" si="3"/>
        <v>0</v>
      </c>
      <c r="I219" s="13">
        <f t="shared" si="4"/>
        <v>0</v>
      </c>
      <c r="J219" s="12"/>
      <c r="K219" s="18" t="str">
        <f>IFERROR(VLOOKUP(A219,Proveedores!B217:H430,3,0), "")</f>
        <v/>
      </c>
    </row>
    <row r="220" ht="21.75" customHeight="1">
      <c r="A220" s="16" t="str">
        <f>Productos!B218</f>
        <v/>
      </c>
      <c r="B220" s="16" t="str">
        <f>Productos!C218</f>
        <v/>
      </c>
      <c r="C220" s="16" t="str">
        <f>Productos!E218</f>
        <v/>
      </c>
      <c r="D220" s="13" t="str">
        <f>Productos!F218</f>
        <v/>
      </c>
      <c r="E220" s="13" t="str">
        <f>Productos!G218</f>
        <v/>
      </c>
      <c r="F220" s="19"/>
      <c r="G220" s="13">
        <f t="shared" si="2"/>
        <v>0</v>
      </c>
      <c r="H220" s="13">
        <f t="shared" si="3"/>
        <v>0</v>
      </c>
      <c r="I220" s="13">
        <f t="shared" si="4"/>
        <v>0</v>
      </c>
      <c r="J220" s="12"/>
      <c r="K220" s="18" t="str">
        <f>IFERROR(VLOOKUP(A220,Proveedores!B218:H431,3,0), "")</f>
        <v/>
      </c>
    </row>
    <row r="221" ht="21.75" customHeight="1">
      <c r="A221" s="16" t="str">
        <f>Productos!B219</f>
        <v/>
      </c>
      <c r="B221" s="16" t="str">
        <f>Productos!C219</f>
        <v/>
      </c>
      <c r="C221" s="16" t="str">
        <f>Productos!E219</f>
        <v/>
      </c>
      <c r="D221" s="13" t="str">
        <f>Productos!F219</f>
        <v/>
      </c>
      <c r="E221" s="13" t="str">
        <f>Productos!G219</f>
        <v/>
      </c>
      <c r="F221" s="19"/>
      <c r="G221" s="13">
        <f t="shared" si="2"/>
        <v>0</v>
      </c>
      <c r="H221" s="13">
        <f t="shared" si="3"/>
        <v>0</v>
      </c>
      <c r="I221" s="13">
        <f t="shared" si="4"/>
        <v>0</v>
      </c>
      <c r="J221" s="12"/>
      <c r="K221" s="18" t="str">
        <f>IFERROR(VLOOKUP(A221,Proveedores!B219:H432,3,0), "")</f>
        <v/>
      </c>
    </row>
    <row r="222" ht="21.75" customHeight="1">
      <c r="A222" s="16" t="str">
        <f>Productos!B220</f>
        <v/>
      </c>
      <c r="B222" s="16" t="str">
        <f>Productos!C220</f>
        <v/>
      </c>
      <c r="C222" s="16" t="str">
        <f>Productos!E220</f>
        <v/>
      </c>
      <c r="D222" s="13" t="str">
        <f>Productos!F220</f>
        <v/>
      </c>
      <c r="E222" s="13" t="str">
        <f>Productos!G220</f>
        <v/>
      </c>
      <c r="F222" s="19"/>
      <c r="G222" s="13">
        <f t="shared" si="2"/>
        <v>0</v>
      </c>
      <c r="H222" s="13">
        <f t="shared" si="3"/>
        <v>0</v>
      </c>
      <c r="I222" s="13">
        <f t="shared" si="4"/>
        <v>0</v>
      </c>
      <c r="J222" s="12"/>
      <c r="K222" s="18" t="str">
        <f>IFERROR(VLOOKUP(A222,Proveedores!B220:H433,3,0), "")</f>
        <v/>
      </c>
    </row>
    <row r="223" ht="21.75" customHeight="1">
      <c r="A223" s="16" t="str">
        <f>Productos!B221</f>
        <v/>
      </c>
      <c r="B223" s="16" t="str">
        <f>Productos!C221</f>
        <v/>
      </c>
      <c r="C223" s="16" t="str">
        <f>Productos!E221</f>
        <v/>
      </c>
      <c r="D223" s="13" t="str">
        <f>Productos!F221</f>
        <v/>
      </c>
      <c r="E223" s="13" t="str">
        <f>Productos!G221</f>
        <v/>
      </c>
      <c r="F223" s="19"/>
      <c r="G223" s="13">
        <f t="shared" si="2"/>
        <v>0</v>
      </c>
      <c r="H223" s="13">
        <f t="shared" si="3"/>
        <v>0</v>
      </c>
      <c r="I223" s="13">
        <f t="shared" si="4"/>
        <v>0</v>
      </c>
      <c r="J223" s="12"/>
      <c r="K223" s="18" t="str">
        <f>IFERROR(VLOOKUP(A223,Proveedores!B221:H434,3,0), "")</f>
        <v/>
      </c>
    </row>
    <row r="224" ht="21.75" customHeight="1">
      <c r="A224" s="16" t="str">
        <f>Productos!B222</f>
        <v/>
      </c>
      <c r="B224" s="16" t="str">
        <f>Productos!C222</f>
        <v/>
      </c>
      <c r="C224" s="16" t="str">
        <f>Productos!E222</f>
        <v/>
      </c>
      <c r="D224" s="13" t="str">
        <f>Productos!F222</f>
        <v/>
      </c>
      <c r="E224" s="13" t="str">
        <f>Productos!G222</f>
        <v/>
      </c>
      <c r="F224" s="19"/>
      <c r="G224" s="13">
        <f t="shared" si="2"/>
        <v>0</v>
      </c>
      <c r="H224" s="13">
        <f t="shared" si="3"/>
        <v>0</v>
      </c>
      <c r="I224" s="13">
        <f t="shared" si="4"/>
        <v>0</v>
      </c>
      <c r="J224" s="12"/>
      <c r="K224" s="18" t="str">
        <f>IFERROR(VLOOKUP(A224,Proveedores!B222:H435,3,0), "")</f>
        <v/>
      </c>
    </row>
    <row r="225" ht="21.75" customHeight="1">
      <c r="A225" s="16" t="str">
        <f>Productos!B223</f>
        <v/>
      </c>
      <c r="B225" s="16" t="str">
        <f>Productos!C223</f>
        <v/>
      </c>
      <c r="C225" s="16" t="str">
        <f>Productos!E223</f>
        <v/>
      </c>
      <c r="D225" s="13" t="str">
        <f>Productos!F223</f>
        <v/>
      </c>
      <c r="E225" s="13" t="str">
        <f>Productos!G223</f>
        <v/>
      </c>
      <c r="F225" s="19"/>
      <c r="G225" s="13">
        <f t="shared" si="2"/>
        <v>0</v>
      </c>
      <c r="H225" s="13">
        <f t="shared" si="3"/>
        <v>0</v>
      </c>
      <c r="I225" s="13">
        <f t="shared" si="4"/>
        <v>0</v>
      </c>
      <c r="J225" s="12"/>
      <c r="K225" s="18" t="str">
        <f>IFERROR(VLOOKUP(A225,Proveedores!B223:H436,3,0), "")</f>
        <v/>
      </c>
    </row>
    <row r="226" ht="21.75" customHeight="1">
      <c r="A226" s="16" t="str">
        <f>Productos!B224</f>
        <v/>
      </c>
      <c r="B226" s="16" t="str">
        <f>Productos!C224</f>
        <v/>
      </c>
      <c r="C226" s="16" t="str">
        <f>Productos!E224</f>
        <v/>
      </c>
      <c r="D226" s="13" t="str">
        <f>Productos!F224</f>
        <v/>
      </c>
      <c r="E226" s="13" t="str">
        <f>Productos!G224</f>
        <v/>
      </c>
      <c r="F226" s="19"/>
      <c r="G226" s="13">
        <f t="shared" si="2"/>
        <v>0</v>
      </c>
      <c r="H226" s="13">
        <f t="shared" si="3"/>
        <v>0</v>
      </c>
      <c r="I226" s="13">
        <f t="shared" si="4"/>
        <v>0</v>
      </c>
      <c r="J226" s="12"/>
      <c r="K226" s="18" t="str">
        <f>IFERROR(VLOOKUP(A226,Proveedores!B224:H437,3,0), "")</f>
        <v/>
      </c>
    </row>
    <row r="227" ht="21.75" customHeight="1">
      <c r="A227" s="16" t="str">
        <f>Productos!B225</f>
        <v/>
      </c>
      <c r="B227" s="16" t="str">
        <f>Productos!C225</f>
        <v/>
      </c>
      <c r="C227" s="16" t="str">
        <f>Productos!E225</f>
        <v/>
      </c>
      <c r="D227" s="13" t="str">
        <f>Productos!F225</f>
        <v/>
      </c>
      <c r="E227" s="13" t="str">
        <f>Productos!G225</f>
        <v/>
      </c>
      <c r="F227" s="19"/>
      <c r="G227" s="13">
        <f t="shared" si="2"/>
        <v>0</v>
      </c>
      <c r="H227" s="13">
        <f t="shared" si="3"/>
        <v>0</v>
      </c>
      <c r="I227" s="13">
        <f t="shared" si="4"/>
        <v>0</v>
      </c>
      <c r="J227" s="12"/>
      <c r="K227" s="18" t="str">
        <f>IFERROR(VLOOKUP(A227,Proveedores!B225:H438,3,0), "")</f>
        <v/>
      </c>
    </row>
    <row r="228" ht="21.75" customHeight="1">
      <c r="A228" s="16" t="str">
        <f>Productos!B226</f>
        <v/>
      </c>
      <c r="B228" s="16" t="str">
        <f>Productos!C226</f>
        <v/>
      </c>
      <c r="C228" s="16" t="str">
        <f>Productos!E226</f>
        <v/>
      </c>
      <c r="D228" s="13" t="str">
        <f>Productos!F226</f>
        <v/>
      </c>
      <c r="E228" s="13" t="str">
        <f>Productos!G226</f>
        <v/>
      </c>
      <c r="F228" s="19"/>
      <c r="G228" s="13">
        <f t="shared" si="2"/>
        <v>0</v>
      </c>
      <c r="H228" s="13">
        <f t="shared" si="3"/>
        <v>0</v>
      </c>
      <c r="I228" s="13">
        <f t="shared" si="4"/>
        <v>0</v>
      </c>
      <c r="J228" s="12"/>
      <c r="K228" s="18" t="str">
        <f>IFERROR(VLOOKUP(A228,Proveedores!B226:H439,3,0), "")</f>
        <v/>
      </c>
    </row>
    <row r="229" ht="21.75" customHeight="1">
      <c r="A229" s="16" t="str">
        <f>Productos!B227</f>
        <v/>
      </c>
      <c r="B229" s="16" t="str">
        <f>Productos!C227</f>
        <v/>
      </c>
      <c r="C229" s="16" t="str">
        <f>Productos!E227</f>
        <v/>
      </c>
      <c r="D229" s="13" t="str">
        <f>Productos!F227</f>
        <v/>
      </c>
      <c r="E229" s="13" t="str">
        <f>Productos!G227</f>
        <v/>
      </c>
      <c r="F229" s="19"/>
      <c r="G229" s="13">
        <f t="shared" si="2"/>
        <v>0</v>
      </c>
      <c r="H229" s="13">
        <f t="shared" si="3"/>
        <v>0</v>
      </c>
      <c r="I229" s="13">
        <f t="shared" si="4"/>
        <v>0</v>
      </c>
      <c r="J229" s="12"/>
      <c r="K229" s="18" t="str">
        <f>IFERROR(VLOOKUP(A229,Proveedores!B227:H440,3,0), "")</f>
        <v/>
      </c>
    </row>
    <row r="230" ht="21.75" customHeight="1">
      <c r="A230" s="16" t="str">
        <f>Productos!B228</f>
        <v/>
      </c>
      <c r="B230" s="16" t="str">
        <f>Productos!C228</f>
        <v/>
      </c>
      <c r="C230" s="16" t="str">
        <f>Productos!E228</f>
        <v/>
      </c>
      <c r="D230" s="13" t="str">
        <f>Productos!F228</f>
        <v/>
      </c>
      <c r="E230" s="13" t="str">
        <f>Productos!G228</f>
        <v/>
      </c>
      <c r="F230" s="19"/>
      <c r="G230" s="13">
        <f t="shared" si="2"/>
        <v>0</v>
      </c>
      <c r="H230" s="13">
        <f t="shared" si="3"/>
        <v>0</v>
      </c>
      <c r="I230" s="13">
        <f t="shared" si="4"/>
        <v>0</v>
      </c>
      <c r="J230" s="12"/>
      <c r="K230" s="18" t="str">
        <f>IFERROR(VLOOKUP(A230,Proveedores!B228:H441,3,0), "")</f>
        <v/>
      </c>
    </row>
    <row r="231" ht="21.75" customHeight="1">
      <c r="A231" s="16" t="str">
        <f>Productos!B229</f>
        <v/>
      </c>
      <c r="B231" s="16" t="str">
        <f>Productos!C229</f>
        <v/>
      </c>
      <c r="C231" s="16" t="str">
        <f>Productos!E229</f>
        <v/>
      </c>
      <c r="D231" s="13" t="str">
        <f>Productos!F229</f>
        <v/>
      </c>
      <c r="E231" s="13" t="str">
        <f>Productos!G229</f>
        <v/>
      </c>
      <c r="F231" s="19"/>
      <c r="G231" s="13">
        <f t="shared" si="2"/>
        <v>0</v>
      </c>
      <c r="H231" s="13">
        <f t="shared" si="3"/>
        <v>0</v>
      </c>
      <c r="I231" s="13">
        <f t="shared" si="4"/>
        <v>0</v>
      </c>
      <c r="J231" s="12"/>
      <c r="K231" s="18" t="str">
        <f>IFERROR(VLOOKUP(A231,Proveedores!B229:H442,3,0), "")</f>
        <v/>
      </c>
    </row>
    <row r="232" ht="21.75" customHeight="1">
      <c r="A232" s="16" t="str">
        <f>Productos!B230</f>
        <v/>
      </c>
      <c r="B232" s="16" t="str">
        <f>Productos!C230</f>
        <v/>
      </c>
      <c r="C232" s="16" t="str">
        <f>Productos!E230</f>
        <v/>
      </c>
      <c r="D232" s="13" t="str">
        <f>Productos!F230</f>
        <v/>
      </c>
      <c r="E232" s="13" t="str">
        <f>Productos!G230</f>
        <v/>
      </c>
      <c r="F232" s="19"/>
      <c r="G232" s="13">
        <f t="shared" si="2"/>
        <v>0</v>
      </c>
      <c r="H232" s="13">
        <f t="shared" si="3"/>
        <v>0</v>
      </c>
      <c r="I232" s="13">
        <f t="shared" si="4"/>
        <v>0</v>
      </c>
      <c r="J232" s="12"/>
      <c r="K232" s="18" t="str">
        <f>IFERROR(VLOOKUP(A232,Proveedores!B230:H443,3,0), "")</f>
        <v/>
      </c>
    </row>
    <row r="233" ht="21.75" customHeight="1">
      <c r="A233" s="16" t="str">
        <f>Productos!B231</f>
        <v/>
      </c>
      <c r="B233" s="16" t="str">
        <f>Productos!C231</f>
        <v/>
      </c>
      <c r="C233" s="16" t="str">
        <f>Productos!E231</f>
        <v/>
      </c>
      <c r="D233" s="13" t="str">
        <f>Productos!F231</f>
        <v/>
      </c>
      <c r="E233" s="13" t="str">
        <f>Productos!G231</f>
        <v/>
      </c>
      <c r="F233" s="19"/>
      <c r="G233" s="13">
        <f t="shared" si="2"/>
        <v>0</v>
      </c>
      <c r="H233" s="13">
        <f t="shared" si="3"/>
        <v>0</v>
      </c>
      <c r="I233" s="13">
        <f t="shared" si="4"/>
        <v>0</v>
      </c>
      <c r="J233" s="12"/>
      <c r="K233" s="18" t="str">
        <f>IFERROR(VLOOKUP(A233,Proveedores!B231:H444,3,0), "")</f>
        <v/>
      </c>
    </row>
    <row r="234" ht="21.75" customHeight="1">
      <c r="A234" s="16" t="str">
        <f>Productos!B232</f>
        <v/>
      </c>
      <c r="B234" s="16" t="str">
        <f>Productos!C232</f>
        <v/>
      </c>
      <c r="C234" s="16" t="str">
        <f>Productos!E232</f>
        <v/>
      </c>
      <c r="D234" s="13" t="str">
        <f>Productos!F232</f>
        <v/>
      </c>
      <c r="E234" s="13" t="str">
        <f>Productos!G232</f>
        <v/>
      </c>
      <c r="F234" s="19"/>
      <c r="G234" s="13">
        <f t="shared" si="2"/>
        <v>0</v>
      </c>
      <c r="H234" s="13">
        <f t="shared" si="3"/>
        <v>0</v>
      </c>
      <c r="I234" s="13">
        <f t="shared" si="4"/>
        <v>0</v>
      </c>
      <c r="J234" s="12"/>
      <c r="K234" s="18" t="str">
        <f>IFERROR(VLOOKUP(A234,Proveedores!B232:H445,3,0), "")</f>
        <v/>
      </c>
    </row>
    <row r="235" ht="21.75" customHeight="1">
      <c r="A235" s="16" t="str">
        <f>Productos!B233</f>
        <v/>
      </c>
      <c r="B235" s="16" t="str">
        <f>Productos!C233</f>
        <v/>
      </c>
      <c r="C235" s="16" t="str">
        <f>Productos!E233</f>
        <v/>
      </c>
      <c r="D235" s="13" t="str">
        <f>Productos!F233</f>
        <v/>
      </c>
      <c r="E235" s="13" t="str">
        <f>Productos!G233</f>
        <v/>
      </c>
      <c r="F235" s="19"/>
      <c r="G235" s="13">
        <f t="shared" si="2"/>
        <v>0</v>
      </c>
      <c r="H235" s="13">
        <f t="shared" si="3"/>
        <v>0</v>
      </c>
      <c r="I235" s="13">
        <f t="shared" si="4"/>
        <v>0</v>
      </c>
      <c r="J235" s="12"/>
      <c r="K235" s="18" t="str">
        <f>IFERROR(VLOOKUP(A235,Proveedores!B233:H446,3,0), "")</f>
        <v/>
      </c>
    </row>
    <row r="236" ht="21.75" customHeight="1">
      <c r="A236" s="16" t="str">
        <f>Productos!B234</f>
        <v/>
      </c>
      <c r="B236" s="16" t="str">
        <f>Productos!C234</f>
        <v/>
      </c>
      <c r="C236" s="16" t="str">
        <f>Productos!E234</f>
        <v/>
      </c>
      <c r="D236" s="13" t="str">
        <f>Productos!F234</f>
        <v/>
      </c>
      <c r="E236" s="13" t="str">
        <f>Productos!G234</f>
        <v/>
      </c>
      <c r="F236" s="19"/>
      <c r="G236" s="13">
        <f t="shared" si="2"/>
        <v>0</v>
      </c>
      <c r="H236" s="13">
        <f t="shared" si="3"/>
        <v>0</v>
      </c>
      <c r="I236" s="13">
        <f t="shared" si="4"/>
        <v>0</v>
      </c>
      <c r="J236" s="12"/>
      <c r="K236" s="18" t="str">
        <f>IFERROR(VLOOKUP(A236,Proveedores!B234:H447,3,0), "")</f>
        <v/>
      </c>
    </row>
    <row r="237" ht="21.75" customHeight="1">
      <c r="A237" s="16" t="str">
        <f>Productos!B235</f>
        <v/>
      </c>
      <c r="B237" s="16" t="str">
        <f>Productos!C235</f>
        <v/>
      </c>
      <c r="C237" s="16" t="str">
        <f>Productos!E235</f>
        <v/>
      </c>
      <c r="D237" s="13" t="str">
        <f>Productos!F235</f>
        <v/>
      </c>
      <c r="E237" s="13" t="str">
        <f>Productos!G235</f>
        <v/>
      </c>
      <c r="F237" s="19"/>
      <c r="G237" s="13">
        <f t="shared" si="2"/>
        <v>0</v>
      </c>
      <c r="H237" s="13">
        <f t="shared" si="3"/>
        <v>0</v>
      </c>
      <c r="I237" s="13">
        <f t="shared" si="4"/>
        <v>0</v>
      </c>
      <c r="J237" s="12"/>
      <c r="K237" s="18" t="str">
        <f>IFERROR(VLOOKUP(A237,Proveedores!B235:H448,3,0), "")</f>
        <v/>
      </c>
    </row>
    <row r="238" ht="21.75" customHeight="1">
      <c r="A238" s="16" t="str">
        <f>Productos!B236</f>
        <v/>
      </c>
      <c r="B238" s="16" t="str">
        <f>Productos!C236</f>
        <v/>
      </c>
      <c r="C238" s="16" t="str">
        <f>Productos!E236</f>
        <v/>
      </c>
      <c r="D238" s="13" t="str">
        <f>Productos!F236</f>
        <v/>
      </c>
      <c r="E238" s="13" t="str">
        <f>Productos!G236</f>
        <v/>
      </c>
      <c r="F238" s="19"/>
      <c r="G238" s="13">
        <f t="shared" si="2"/>
        <v>0</v>
      </c>
      <c r="H238" s="13">
        <f t="shared" si="3"/>
        <v>0</v>
      </c>
      <c r="I238" s="13">
        <f t="shared" si="4"/>
        <v>0</v>
      </c>
      <c r="J238" s="12"/>
      <c r="K238" s="18" t="str">
        <f>IFERROR(VLOOKUP(A238,Proveedores!B236:H449,3,0), "")</f>
        <v/>
      </c>
    </row>
    <row r="239" ht="21.75" customHeight="1">
      <c r="A239" s="16" t="str">
        <f>Productos!B237</f>
        <v/>
      </c>
      <c r="B239" s="16" t="str">
        <f>Productos!C237</f>
        <v/>
      </c>
      <c r="C239" s="16" t="str">
        <f>Productos!E237</f>
        <v/>
      </c>
      <c r="D239" s="13" t="str">
        <f>Productos!F237</f>
        <v/>
      </c>
      <c r="E239" s="13" t="str">
        <f>Productos!G237</f>
        <v/>
      </c>
      <c r="F239" s="19"/>
      <c r="G239" s="13">
        <f t="shared" si="2"/>
        <v>0</v>
      </c>
      <c r="H239" s="13">
        <f t="shared" si="3"/>
        <v>0</v>
      </c>
      <c r="I239" s="13">
        <f t="shared" si="4"/>
        <v>0</v>
      </c>
      <c r="J239" s="12"/>
      <c r="K239" s="18" t="str">
        <f>IFERROR(VLOOKUP(A239,Proveedores!B237:H450,3,0), "")</f>
        <v/>
      </c>
    </row>
    <row r="240" ht="21.75" customHeight="1">
      <c r="A240" s="16" t="str">
        <f>Productos!B238</f>
        <v/>
      </c>
      <c r="B240" s="16" t="str">
        <f>Productos!C238</f>
        <v/>
      </c>
      <c r="C240" s="16" t="str">
        <f>Productos!E238</f>
        <v/>
      </c>
      <c r="D240" s="13" t="str">
        <f>Productos!F238</f>
        <v/>
      </c>
      <c r="E240" s="13" t="str">
        <f>Productos!G238</f>
        <v/>
      </c>
      <c r="F240" s="19"/>
      <c r="G240" s="13">
        <f t="shared" si="2"/>
        <v>0</v>
      </c>
      <c r="H240" s="13">
        <f t="shared" si="3"/>
        <v>0</v>
      </c>
      <c r="I240" s="13">
        <f t="shared" si="4"/>
        <v>0</v>
      </c>
      <c r="J240" s="12"/>
      <c r="K240" s="18" t="str">
        <f>IFERROR(VLOOKUP(A240,Proveedores!B238:H451,3,0), "")</f>
        <v/>
      </c>
    </row>
    <row r="241" ht="21.75" customHeight="1">
      <c r="A241" s="16" t="str">
        <f>Productos!B239</f>
        <v/>
      </c>
      <c r="B241" s="16" t="str">
        <f>Productos!C239</f>
        <v/>
      </c>
      <c r="C241" s="16" t="str">
        <f>Productos!E239</f>
        <v/>
      </c>
      <c r="D241" s="13" t="str">
        <f>Productos!F239</f>
        <v/>
      </c>
      <c r="E241" s="13" t="str">
        <f>Productos!G239</f>
        <v/>
      </c>
      <c r="F241" s="19"/>
      <c r="G241" s="13">
        <f t="shared" si="2"/>
        <v>0</v>
      </c>
      <c r="H241" s="13">
        <f t="shared" si="3"/>
        <v>0</v>
      </c>
      <c r="I241" s="13">
        <f t="shared" si="4"/>
        <v>0</v>
      </c>
      <c r="J241" s="12"/>
      <c r="K241" s="18" t="str">
        <f>IFERROR(VLOOKUP(A241,Proveedores!B239:H452,3,0), "")</f>
        <v/>
      </c>
    </row>
    <row r="242" ht="21.75" customHeight="1">
      <c r="A242" s="16" t="str">
        <f>Productos!B240</f>
        <v/>
      </c>
      <c r="B242" s="16" t="str">
        <f>Productos!C240</f>
        <v/>
      </c>
      <c r="C242" s="16" t="str">
        <f>Productos!E240</f>
        <v/>
      </c>
      <c r="D242" s="13" t="str">
        <f>Productos!F240</f>
        <v/>
      </c>
      <c r="E242" s="13" t="str">
        <f>Productos!G240</f>
        <v/>
      </c>
      <c r="F242" s="19"/>
      <c r="G242" s="13">
        <f t="shared" si="2"/>
        <v>0</v>
      </c>
      <c r="H242" s="13">
        <f t="shared" si="3"/>
        <v>0</v>
      </c>
      <c r="I242" s="13">
        <f t="shared" si="4"/>
        <v>0</v>
      </c>
      <c r="J242" s="12"/>
      <c r="K242" s="18" t="str">
        <f>IFERROR(VLOOKUP(A242,Proveedores!B240:H453,3,0), "")</f>
        <v/>
      </c>
    </row>
    <row r="243" ht="21.75" customHeight="1">
      <c r="A243" s="16" t="str">
        <f>Productos!B241</f>
        <v/>
      </c>
      <c r="B243" s="16" t="str">
        <f>Productos!C241</f>
        <v/>
      </c>
      <c r="C243" s="16" t="str">
        <f>Productos!E241</f>
        <v/>
      </c>
      <c r="D243" s="13" t="str">
        <f>Productos!F241</f>
        <v/>
      </c>
      <c r="E243" s="13" t="str">
        <f>Productos!G241</f>
        <v/>
      </c>
      <c r="F243" s="19"/>
      <c r="G243" s="13">
        <f t="shared" si="2"/>
        <v>0</v>
      </c>
      <c r="H243" s="13">
        <f t="shared" si="3"/>
        <v>0</v>
      </c>
      <c r="I243" s="13">
        <f t="shared" si="4"/>
        <v>0</v>
      </c>
      <c r="J243" s="12"/>
      <c r="K243" s="18" t="str">
        <f>IFERROR(VLOOKUP(A243,Proveedores!B241:H454,3,0), "")</f>
        <v/>
      </c>
    </row>
    <row r="244" ht="21.75" customHeight="1">
      <c r="A244" s="16" t="str">
        <f>Productos!B242</f>
        <v/>
      </c>
      <c r="B244" s="16" t="str">
        <f>Productos!C242</f>
        <v/>
      </c>
      <c r="C244" s="16" t="str">
        <f>Productos!E242</f>
        <v/>
      </c>
      <c r="D244" s="13" t="str">
        <f>Productos!F242</f>
        <v/>
      </c>
      <c r="E244" s="13" t="str">
        <f>Productos!G242</f>
        <v/>
      </c>
      <c r="F244" s="19"/>
      <c r="G244" s="13">
        <f t="shared" si="2"/>
        <v>0</v>
      </c>
      <c r="H244" s="13">
        <f t="shared" si="3"/>
        <v>0</v>
      </c>
      <c r="I244" s="13">
        <f t="shared" si="4"/>
        <v>0</v>
      </c>
      <c r="J244" s="12"/>
      <c r="K244" s="18" t="str">
        <f>IFERROR(VLOOKUP(A244,Proveedores!B242:H455,3,0), "")</f>
        <v/>
      </c>
    </row>
    <row r="245" ht="21.75" customHeight="1">
      <c r="A245" s="16" t="str">
        <f>Productos!B243</f>
        <v/>
      </c>
      <c r="B245" s="16" t="str">
        <f>Productos!C243</f>
        <v/>
      </c>
      <c r="C245" s="16" t="str">
        <f>Productos!E243</f>
        <v/>
      </c>
      <c r="D245" s="13" t="str">
        <f>Productos!F243</f>
        <v/>
      </c>
      <c r="E245" s="13" t="str">
        <f>Productos!G243</f>
        <v/>
      </c>
      <c r="F245" s="19"/>
      <c r="G245" s="13">
        <f t="shared" si="2"/>
        <v>0</v>
      </c>
      <c r="H245" s="13">
        <f t="shared" si="3"/>
        <v>0</v>
      </c>
      <c r="I245" s="13">
        <f t="shared" si="4"/>
        <v>0</v>
      </c>
      <c r="J245" s="12"/>
      <c r="K245" s="18" t="str">
        <f>IFERROR(VLOOKUP(A245,Proveedores!B243:H456,3,0), "")</f>
        <v/>
      </c>
    </row>
    <row r="246" ht="21.75" customHeight="1">
      <c r="A246" s="16" t="str">
        <f>Productos!B244</f>
        <v/>
      </c>
      <c r="B246" s="16" t="str">
        <f>Productos!C244</f>
        <v/>
      </c>
      <c r="C246" s="16" t="str">
        <f>Productos!E244</f>
        <v/>
      </c>
      <c r="D246" s="13" t="str">
        <f>Productos!F244</f>
        <v/>
      </c>
      <c r="E246" s="13" t="str">
        <f>Productos!G244</f>
        <v/>
      </c>
      <c r="F246" s="19"/>
      <c r="G246" s="13">
        <f t="shared" si="2"/>
        <v>0</v>
      </c>
      <c r="H246" s="13">
        <f t="shared" si="3"/>
        <v>0</v>
      </c>
      <c r="I246" s="13">
        <f t="shared" si="4"/>
        <v>0</v>
      </c>
      <c r="J246" s="12"/>
      <c r="K246" s="18" t="str">
        <f>IFERROR(VLOOKUP(A246,Proveedores!B244:H457,3,0), "")</f>
        <v/>
      </c>
    </row>
    <row r="247" ht="21.75" customHeight="1">
      <c r="A247" s="16" t="str">
        <f>Productos!B245</f>
        <v/>
      </c>
      <c r="B247" s="16" t="str">
        <f>Productos!C245</f>
        <v/>
      </c>
      <c r="C247" s="16" t="str">
        <f>Productos!E245</f>
        <v/>
      </c>
      <c r="D247" s="13" t="str">
        <f>Productos!F245</f>
        <v/>
      </c>
      <c r="E247" s="13" t="str">
        <f>Productos!G245</f>
        <v/>
      </c>
      <c r="F247" s="19"/>
      <c r="G247" s="13">
        <f t="shared" si="2"/>
        <v>0</v>
      </c>
      <c r="H247" s="13">
        <f t="shared" si="3"/>
        <v>0</v>
      </c>
      <c r="I247" s="13">
        <f t="shared" si="4"/>
        <v>0</v>
      </c>
      <c r="J247" s="12"/>
      <c r="K247" s="18" t="str">
        <f>IFERROR(VLOOKUP(A247,Proveedores!B245:H458,3,0), "")</f>
        <v/>
      </c>
    </row>
    <row r="248" ht="21.75" customHeight="1">
      <c r="A248" s="16" t="str">
        <f>Productos!B246</f>
        <v/>
      </c>
      <c r="B248" s="16" t="str">
        <f>Productos!C246</f>
        <v/>
      </c>
      <c r="C248" s="16" t="str">
        <f>Productos!E246</f>
        <v/>
      </c>
      <c r="D248" s="13" t="str">
        <f>Productos!F246</f>
        <v/>
      </c>
      <c r="E248" s="13" t="str">
        <f>Productos!G246</f>
        <v/>
      </c>
      <c r="F248" s="19"/>
      <c r="G248" s="13">
        <f t="shared" si="2"/>
        <v>0</v>
      </c>
      <c r="H248" s="13">
        <f t="shared" si="3"/>
        <v>0</v>
      </c>
      <c r="I248" s="13">
        <f t="shared" si="4"/>
        <v>0</v>
      </c>
      <c r="J248" s="12"/>
      <c r="K248" s="18" t="str">
        <f>IFERROR(VLOOKUP(A248,Proveedores!B246:H459,3,0), "")</f>
        <v/>
      </c>
    </row>
    <row r="249" ht="21.75" customHeight="1">
      <c r="A249" s="16" t="str">
        <f>Productos!B247</f>
        <v/>
      </c>
      <c r="B249" s="16" t="str">
        <f>Productos!C247</f>
        <v/>
      </c>
      <c r="C249" s="16" t="str">
        <f>Productos!E247</f>
        <v/>
      </c>
      <c r="D249" s="13" t="str">
        <f>Productos!F247</f>
        <v/>
      </c>
      <c r="E249" s="13" t="str">
        <f>Productos!G247</f>
        <v/>
      </c>
      <c r="F249" s="19"/>
      <c r="G249" s="13">
        <f t="shared" si="2"/>
        <v>0</v>
      </c>
      <c r="H249" s="13">
        <f t="shared" si="3"/>
        <v>0</v>
      </c>
      <c r="I249" s="13">
        <f t="shared" si="4"/>
        <v>0</v>
      </c>
      <c r="J249" s="12"/>
      <c r="K249" s="18" t="str">
        <f>IFERROR(VLOOKUP(A249,Proveedores!B247:H460,3,0), "")</f>
        <v/>
      </c>
    </row>
    <row r="250" ht="21.75" customHeight="1">
      <c r="A250" s="16" t="str">
        <f>Productos!B248</f>
        <v/>
      </c>
      <c r="B250" s="16" t="str">
        <f>Productos!C248</f>
        <v/>
      </c>
      <c r="C250" s="16" t="str">
        <f>Productos!E248</f>
        <v/>
      </c>
      <c r="D250" s="13" t="str">
        <f>Productos!F248</f>
        <v/>
      </c>
      <c r="E250" s="13" t="str">
        <f>Productos!G248</f>
        <v/>
      </c>
      <c r="F250" s="19"/>
      <c r="G250" s="13">
        <f t="shared" si="2"/>
        <v>0</v>
      </c>
      <c r="H250" s="13">
        <f t="shared" si="3"/>
        <v>0</v>
      </c>
      <c r="I250" s="13">
        <f t="shared" si="4"/>
        <v>0</v>
      </c>
      <c r="J250" s="12"/>
      <c r="K250" s="18" t="str">
        <f>IFERROR(VLOOKUP(A250,Proveedores!B248:H461,3,0), "")</f>
        <v/>
      </c>
    </row>
    <row r="251" ht="21.75" customHeight="1">
      <c r="A251" s="16" t="str">
        <f>Productos!B249</f>
        <v/>
      </c>
      <c r="B251" s="16" t="str">
        <f>Productos!C249</f>
        <v/>
      </c>
      <c r="C251" s="16" t="str">
        <f>Productos!E249</f>
        <v/>
      </c>
      <c r="D251" s="13" t="str">
        <f>Productos!F249</f>
        <v/>
      </c>
      <c r="E251" s="13" t="str">
        <f>Productos!G249</f>
        <v/>
      </c>
      <c r="F251" s="19"/>
      <c r="G251" s="13">
        <f t="shared" si="2"/>
        <v>0</v>
      </c>
      <c r="H251" s="13">
        <f t="shared" si="3"/>
        <v>0</v>
      </c>
      <c r="I251" s="13">
        <f t="shared" si="4"/>
        <v>0</v>
      </c>
      <c r="J251" s="12"/>
      <c r="K251" s="18" t="str">
        <f>IFERROR(VLOOKUP(A251,Proveedores!B249:H462,3,0), "")</f>
        <v/>
      </c>
    </row>
    <row r="252" ht="21.75" customHeight="1">
      <c r="A252" s="16" t="str">
        <f>Productos!B250</f>
        <v/>
      </c>
      <c r="B252" s="16" t="str">
        <f>Productos!C250</f>
        <v/>
      </c>
      <c r="C252" s="16" t="str">
        <f>Productos!E250</f>
        <v/>
      </c>
      <c r="D252" s="13" t="str">
        <f>Productos!F250</f>
        <v/>
      </c>
      <c r="E252" s="13" t="str">
        <f>Productos!G250</f>
        <v/>
      </c>
      <c r="F252" s="19"/>
      <c r="G252" s="13">
        <f t="shared" si="2"/>
        <v>0</v>
      </c>
      <c r="H252" s="13">
        <f t="shared" si="3"/>
        <v>0</v>
      </c>
      <c r="I252" s="13">
        <f t="shared" si="4"/>
        <v>0</v>
      </c>
      <c r="J252" s="12"/>
      <c r="K252" s="18" t="str">
        <f>IFERROR(VLOOKUP(A252,Proveedores!B250:H463,3,0), "")</f>
        <v/>
      </c>
    </row>
    <row r="253" ht="21.75" customHeight="1">
      <c r="A253" s="16" t="str">
        <f>Productos!B251</f>
        <v/>
      </c>
      <c r="B253" s="16" t="str">
        <f>Productos!C251</f>
        <v/>
      </c>
      <c r="C253" s="16" t="str">
        <f>Productos!E251</f>
        <v/>
      </c>
      <c r="D253" s="13" t="str">
        <f>Productos!F251</f>
        <v/>
      </c>
      <c r="E253" s="13" t="str">
        <f>Productos!G251</f>
        <v/>
      </c>
      <c r="F253" s="19"/>
      <c r="G253" s="13">
        <f t="shared" si="2"/>
        <v>0</v>
      </c>
      <c r="H253" s="13">
        <f t="shared" si="3"/>
        <v>0</v>
      </c>
      <c r="I253" s="13">
        <f t="shared" si="4"/>
        <v>0</v>
      </c>
      <c r="J253" s="12"/>
      <c r="K253" s="18" t="str">
        <f>IFERROR(VLOOKUP(A253,Proveedores!B251:H464,3,0), "")</f>
        <v/>
      </c>
    </row>
    <row r="254" ht="21.75" customHeight="1">
      <c r="A254" s="16" t="str">
        <f>Productos!B252</f>
        <v/>
      </c>
      <c r="B254" s="16" t="str">
        <f>Productos!C252</f>
        <v/>
      </c>
      <c r="C254" s="16" t="str">
        <f>Productos!E252</f>
        <v/>
      </c>
      <c r="D254" s="13" t="str">
        <f>Productos!F252</f>
        <v/>
      </c>
      <c r="E254" s="13" t="str">
        <f>Productos!G252</f>
        <v/>
      </c>
      <c r="F254" s="19"/>
      <c r="G254" s="13">
        <f t="shared" si="2"/>
        <v>0</v>
      </c>
      <c r="H254" s="13">
        <f t="shared" si="3"/>
        <v>0</v>
      </c>
      <c r="I254" s="13">
        <f t="shared" si="4"/>
        <v>0</v>
      </c>
      <c r="J254" s="12"/>
      <c r="K254" s="18" t="str">
        <f>IFERROR(VLOOKUP(A254,Proveedores!B252:H465,3,0), "")</f>
        <v/>
      </c>
    </row>
    <row r="255" ht="21.75" customHeight="1">
      <c r="A255" s="16" t="str">
        <f>Productos!B253</f>
        <v/>
      </c>
      <c r="B255" s="16" t="str">
        <f>Productos!C253</f>
        <v/>
      </c>
      <c r="C255" s="16" t="str">
        <f>Productos!E253</f>
        <v/>
      </c>
      <c r="D255" s="13" t="str">
        <f>Productos!F253</f>
        <v/>
      </c>
      <c r="E255" s="13" t="str">
        <f>Productos!G253</f>
        <v/>
      </c>
      <c r="F255" s="19"/>
      <c r="G255" s="13">
        <f t="shared" si="2"/>
        <v>0</v>
      </c>
      <c r="H255" s="13">
        <f t="shared" si="3"/>
        <v>0</v>
      </c>
      <c r="I255" s="13">
        <f t="shared" si="4"/>
        <v>0</v>
      </c>
      <c r="J255" s="12"/>
      <c r="K255" s="18" t="str">
        <f>IFERROR(VLOOKUP(A255,Proveedores!B253:H466,3,0), "")</f>
        <v/>
      </c>
    </row>
    <row r="256" ht="21.75" customHeight="1">
      <c r="A256" s="16" t="str">
        <f>Productos!B254</f>
        <v/>
      </c>
      <c r="B256" s="16" t="str">
        <f>Productos!C254</f>
        <v/>
      </c>
      <c r="C256" s="16" t="str">
        <f>Productos!E254</f>
        <v/>
      </c>
      <c r="D256" s="13" t="str">
        <f>Productos!F254</f>
        <v/>
      </c>
      <c r="E256" s="13" t="str">
        <f>Productos!G254</f>
        <v/>
      </c>
      <c r="F256" s="19"/>
      <c r="G256" s="13">
        <f t="shared" si="2"/>
        <v>0</v>
      </c>
      <c r="H256" s="13">
        <f t="shared" si="3"/>
        <v>0</v>
      </c>
      <c r="I256" s="13">
        <f t="shared" si="4"/>
        <v>0</v>
      </c>
      <c r="J256" s="12"/>
      <c r="K256" s="18" t="str">
        <f>IFERROR(VLOOKUP(A256,Proveedores!B254:H467,3,0), "")</f>
        <v/>
      </c>
    </row>
    <row r="257" ht="21.75" customHeight="1">
      <c r="A257" s="16" t="str">
        <f>Productos!B255</f>
        <v/>
      </c>
      <c r="B257" s="16" t="str">
        <f>Productos!C255</f>
        <v/>
      </c>
      <c r="C257" s="16" t="str">
        <f>Productos!E255</f>
        <v/>
      </c>
      <c r="D257" s="13" t="str">
        <f>Productos!F255</f>
        <v/>
      </c>
      <c r="E257" s="13" t="str">
        <f>Productos!G255</f>
        <v/>
      </c>
      <c r="F257" s="19"/>
      <c r="G257" s="13">
        <f t="shared" si="2"/>
        <v>0</v>
      </c>
      <c r="H257" s="13">
        <f t="shared" si="3"/>
        <v>0</v>
      </c>
      <c r="I257" s="13">
        <f t="shared" si="4"/>
        <v>0</v>
      </c>
      <c r="J257" s="12"/>
      <c r="K257" s="18" t="str">
        <f>IFERROR(VLOOKUP(A257,Proveedores!B255:H468,3,0), "")</f>
        <v/>
      </c>
    </row>
    <row r="258" ht="21.75" customHeight="1">
      <c r="A258" s="16" t="str">
        <f>Productos!B256</f>
        <v/>
      </c>
      <c r="B258" s="16" t="str">
        <f>Productos!C256</f>
        <v/>
      </c>
      <c r="C258" s="16" t="str">
        <f>Productos!E256</f>
        <v/>
      </c>
      <c r="D258" s="13" t="str">
        <f>Productos!F256</f>
        <v/>
      </c>
      <c r="E258" s="13" t="str">
        <f>Productos!G256</f>
        <v/>
      </c>
      <c r="F258" s="19"/>
      <c r="G258" s="13">
        <f t="shared" si="2"/>
        <v>0</v>
      </c>
      <c r="H258" s="13">
        <f t="shared" si="3"/>
        <v>0</v>
      </c>
      <c r="I258" s="13">
        <f t="shared" si="4"/>
        <v>0</v>
      </c>
      <c r="J258" s="12"/>
      <c r="K258" s="18" t="str">
        <f>IFERROR(VLOOKUP(A258,Proveedores!B256:H469,3,0), "")</f>
        <v/>
      </c>
    </row>
    <row r="259" ht="21.75" customHeight="1">
      <c r="A259" s="16" t="str">
        <f>Productos!B257</f>
        <v/>
      </c>
      <c r="B259" s="16" t="str">
        <f>Productos!C257</f>
        <v/>
      </c>
      <c r="C259" s="16" t="str">
        <f>Productos!E257</f>
        <v/>
      </c>
      <c r="D259" s="13" t="str">
        <f>Productos!F257</f>
        <v/>
      </c>
      <c r="E259" s="13" t="str">
        <f>Productos!G257</f>
        <v/>
      </c>
      <c r="F259" s="19"/>
      <c r="G259" s="13">
        <f t="shared" si="2"/>
        <v>0</v>
      </c>
      <c r="H259" s="13">
        <f t="shared" si="3"/>
        <v>0</v>
      </c>
      <c r="I259" s="13">
        <f t="shared" si="4"/>
        <v>0</v>
      </c>
      <c r="J259" s="12"/>
      <c r="K259" s="18" t="str">
        <f>IFERROR(VLOOKUP(A259,Proveedores!B257:H470,3,0), "")</f>
        <v/>
      </c>
    </row>
    <row r="260" ht="21.75" customHeight="1">
      <c r="A260" s="16" t="str">
        <f>Productos!B258</f>
        <v/>
      </c>
      <c r="B260" s="16" t="str">
        <f>Productos!C258</f>
        <v/>
      </c>
      <c r="C260" s="16" t="str">
        <f>Productos!E258</f>
        <v/>
      </c>
      <c r="D260" s="13" t="str">
        <f>Productos!F258</f>
        <v/>
      </c>
      <c r="E260" s="13" t="str">
        <f>Productos!G258</f>
        <v/>
      </c>
      <c r="F260" s="19"/>
      <c r="G260" s="13">
        <f t="shared" si="2"/>
        <v>0</v>
      </c>
      <c r="H260" s="13">
        <f t="shared" si="3"/>
        <v>0</v>
      </c>
      <c r="I260" s="13">
        <f t="shared" si="4"/>
        <v>0</v>
      </c>
      <c r="J260" s="12"/>
      <c r="K260" s="18" t="str">
        <f>IFERROR(VLOOKUP(A260,Proveedores!B258:H471,3,0), "")</f>
        <v/>
      </c>
    </row>
    <row r="261" ht="21.75" customHeight="1">
      <c r="A261" s="16" t="str">
        <f>Productos!B259</f>
        <v/>
      </c>
      <c r="B261" s="16" t="str">
        <f>Productos!C259</f>
        <v/>
      </c>
      <c r="C261" s="16" t="str">
        <f>Productos!E259</f>
        <v/>
      </c>
      <c r="D261" s="13" t="str">
        <f>Productos!F259</f>
        <v/>
      </c>
      <c r="E261" s="13" t="str">
        <f>Productos!G259</f>
        <v/>
      </c>
      <c r="F261" s="19"/>
      <c r="G261" s="13">
        <f t="shared" si="2"/>
        <v>0</v>
      </c>
      <c r="H261" s="13">
        <f t="shared" si="3"/>
        <v>0</v>
      </c>
      <c r="I261" s="13">
        <f t="shared" si="4"/>
        <v>0</v>
      </c>
      <c r="J261" s="12"/>
      <c r="K261" s="18" t="str">
        <f>IFERROR(VLOOKUP(A261,Proveedores!B259:H472,3,0), "")</f>
        <v/>
      </c>
    </row>
    <row r="262" ht="21.75" customHeight="1">
      <c r="A262" s="16" t="str">
        <f>Productos!B260</f>
        <v/>
      </c>
      <c r="B262" s="16" t="str">
        <f>Productos!C260</f>
        <v/>
      </c>
      <c r="C262" s="16" t="str">
        <f>Productos!E260</f>
        <v/>
      </c>
      <c r="D262" s="13" t="str">
        <f>Productos!F260</f>
        <v/>
      </c>
      <c r="E262" s="13" t="str">
        <f>Productos!G260</f>
        <v/>
      </c>
      <c r="F262" s="19"/>
      <c r="G262" s="13">
        <f t="shared" si="2"/>
        <v>0</v>
      </c>
      <c r="H262" s="13">
        <f t="shared" si="3"/>
        <v>0</v>
      </c>
      <c r="I262" s="13">
        <f t="shared" si="4"/>
        <v>0</v>
      </c>
      <c r="J262" s="12"/>
      <c r="K262" s="18" t="str">
        <f>IFERROR(VLOOKUP(A262,Proveedores!B260:H473,3,0), "")</f>
        <v/>
      </c>
    </row>
    <row r="263" ht="21.75" customHeight="1">
      <c r="A263" s="16" t="str">
        <f>Productos!B261</f>
        <v/>
      </c>
      <c r="B263" s="16" t="str">
        <f>Productos!C261</f>
        <v/>
      </c>
      <c r="C263" s="16" t="str">
        <f>Productos!E261</f>
        <v/>
      </c>
      <c r="D263" s="13" t="str">
        <f>Productos!F261</f>
        <v/>
      </c>
      <c r="E263" s="13" t="str">
        <f>Productos!G261</f>
        <v/>
      </c>
      <c r="F263" s="19"/>
      <c r="G263" s="13">
        <f t="shared" si="2"/>
        <v>0</v>
      </c>
      <c r="H263" s="13">
        <f t="shared" si="3"/>
        <v>0</v>
      </c>
      <c r="I263" s="13">
        <f t="shared" si="4"/>
        <v>0</v>
      </c>
      <c r="J263" s="12"/>
      <c r="K263" s="18" t="str">
        <f>IFERROR(VLOOKUP(A263,Proveedores!B261:H474,3,0), "")</f>
        <v/>
      </c>
    </row>
    <row r="264" ht="21.75" customHeight="1">
      <c r="A264" s="16" t="str">
        <f>Productos!B262</f>
        <v/>
      </c>
      <c r="B264" s="16" t="str">
        <f>Productos!C262</f>
        <v/>
      </c>
      <c r="C264" s="16" t="str">
        <f>Productos!E262</f>
        <v/>
      </c>
      <c r="D264" s="13" t="str">
        <f>Productos!F262</f>
        <v/>
      </c>
      <c r="E264" s="13" t="str">
        <f>Productos!G262</f>
        <v/>
      </c>
      <c r="F264" s="19"/>
      <c r="G264" s="13">
        <f t="shared" si="2"/>
        <v>0</v>
      </c>
      <c r="H264" s="13">
        <f t="shared" si="3"/>
        <v>0</v>
      </c>
      <c r="I264" s="13">
        <f t="shared" si="4"/>
        <v>0</v>
      </c>
      <c r="J264" s="12"/>
      <c r="K264" s="18" t="str">
        <f>IFERROR(VLOOKUP(A264,Proveedores!B262:H475,3,0), "")</f>
        <v/>
      </c>
    </row>
    <row r="265" ht="21.75" customHeight="1">
      <c r="A265" s="16" t="str">
        <f>Productos!B263</f>
        <v/>
      </c>
      <c r="B265" s="16" t="str">
        <f>Productos!C263</f>
        <v/>
      </c>
      <c r="C265" s="16" t="str">
        <f>Productos!E263</f>
        <v/>
      </c>
      <c r="D265" s="13" t="str">
        <f>Productos!F263</f>
        <v/>
      </c>
      <c r="E265" s="13" t="str">
        <f>Productos!G263</f>
        <v/>
      </c>
      <c r="F265" s="19"/>
      <c r="G265" s="13">
        <f t="shared" si="2"/>
        <v>0</v>
      </c>
      <c r="H265" s="13">
        <f t="shared" si="3"/>
        <v>0</v>
      </c>
      <c r="I265" s="13">
        <f t="shared" si="4"/>
        <v>0</v>
      </c>
      <c r="J265" s="12"/>
      <c r="K265" s="18" t="str">
        <f>IFERROR(VLOOKUP(A265,Proveedores!B263:H476,3,0), "")</f>
        <v/>
      </c>
    </row>
    <row r="266" ht="21.75" customHeight="1">
      <c r="A266" s="16" t="str">
        <f>Productos!B264</f>
        <v/>
      </c>
      <c r="B266" s="16" t="str">
        <f>Productos!C264</f>
        <v/>
      </c>
      <c r="C266" s="16" t="str">
        <f>Productos!E264</f>
        <v/>
      </c>
      <c r="D266" s="13" t="str">
        <f>Productos!F264</f>
        <v/>
      </c>
      <c r="E266" s="13" t="str">
        <f>Productos!G264</f>
        <v/>
      </c>
      <c r="F266" s="19"/>
      <c r="G266" s="13">
        <f t="shared" si="2"/>
        <v>0</v>
      </c>
      <c r="H266" s="13">
        <f t="shared" si="3"/>
        <v>0</v>
      </c>
      <c r="I266" s="13">
        <f t="shared" si="4"/>
        <v>0</v>
      </c>
      <c r="J266" s="12"/>
      <c r="K266" s="18" t="str">
        <f>IFERROR(VLOOKUP(A266,Proveedores!B264:H477,3,0), "")</f>
        <v/>
      </c>
    </row>
    <row r="267" ht="21.75" customHeight="1">
      <c r="A267" s="16" t="str">
        <f>Productos!B265</f>
        <v/>
      </c>
      <c r="B267" s="16" t="str">
        <f>Productos!C265</f>
        <v/>
      </c>
      <c r="C267" s="16" t="str">
        <f>Productos!E265</f>
        <v/>
      </c>
      <c r="D267" s="13" t="str">
        <f>Productos!F265</f>
        <v/>
      </c>
      <c r="E267" s="13" t="str">
        <f>Productos!G265</f>
        <v/>
      </c>
      <c r="F267" s="19"/>
      <c r="G267" s="13">
        <f t="shared" si="2"/>
        <v>0</v>
      </c>
      <c r="H267" s="13">
        <f t="shared" si="3"/>
        <v>0</v>
      </c>
      <c r="I267" s="13">
        <f t="shared" si="4"/>
        <v>0</v>
      </c>
      <c r="J267" s="12"/>
      <c r="K267" s="18" t="str">
        <f>IFERROR(VLOOKUP(A267,Proveedores!B265:H478,3,0), "")</f>
        <v/>
      </c>
    </row>
    <row r="268" ht="21.75" customHeight="1">
      <c r="A268" s="16" t="str">
        <f>Productos!B266</f>
        <v/>
      </c>
      <c r="B268" s="16" t="str">
        <f>Productos!C266</f>
        <v/>
      </c>
      <c r="C268" s="16" t="str">
        <f>Productos!E266</f>
        <v/>
      </c>
      <c r="D268" s="13" t="str">
        <f>Productos!F266</f>
        <v/>
      </c>
      <c r="E268" s="13" t="str">
        <f>Productos!G266</f>
        <v/>
      </c>
      <c r="F268" s="19"/>
      <c r="G268" s="13">
        <f t="shared" si="2"/>
        <v>0</v>
      </c>
      <c r="H268" s="13">
        <f t="shared" si="3"/>
        <v>0</v>
      </c>
      <c r="I268" s="13">
        <f t="shared" si="4"/>
        <v>0</v>
      </c>
      <c r="J268" s="12"/>
      <c r="K268" s="18" t="str">
        <f>IFERROR(VLOOKUP(A268,Proveedores!B266:H479,3,0), "")</f>
        <v/>
      </c>
    </row>
    <row r="269" ht="21.75" customHeight="1">
      <c r="A269" s="16" t="str">
        <f>Productos!B267</f>
        <v/>
      </c>
      <c r="B269" s="16" t="str">
        <f>Productos!C267</f>
        <v/>
      </c>
      <c r="C269" s="16" t="str">
        <f>Productos!E267</f>
        <v/>
      </c>
      <c r="D269" s="13" t="str">
        <f>Productos!F267</f>
        <v/>
      </c>
      <c r="E269" s="13" t="str">
        <f>Productos!G267</f>
        <v/>
      </c>
      <c r="F269" s="19"/>
      <c r="G269" s="13">
        <f t="shared" si="2"/>
        <v>0</v>
      </c>
      <c r="H269" s="13">
        <f t="shared" si="3"/>
        <v>0</v>
      </c>
      <c r="I269" s="13">
        <f t="shared" si="4"/>
        <v>0</v>
      </c>
      <c r="J269" s="12"/>
      <c r="K269" s="18" t="str">
        <f>IFERROR(VLOOKUP(A269,Proveedores!B267:H480,3,0), "")</f>
        <v/>
      </c>
    </row>
    <row r="270" ht="21.75" customHeight="1">
      <c r="A270" s="16" t="str">
        <f>Productos!B268</f>
        <v/>
      </c>
      <c r="B270" s="16" t="str">
        <f>Productos!C268</f>
        <v/>
      </c>
      <c r="C270" s="16" t="str">
        <f>Productos!E268</f>
        <v/>
      </c>
      <c r="D270" s="13" t="str">
        <f>Productos!F268</f>
        <v/>
      </c>
      <c r="E270" s="13" t="str">
        <f>Productos!G268</f>
        <v/>
      </c>
      <c r="F270" s="19"/>
      <c r="G270" s="13">
        <f t="shared" si="2"/>
        <v>0</v>
      </c>
      <c r="H270" s="13">
        <f t="shared" si="3"/>
        <v>0</v>
      </c>
      <c r="I270" s="13">
        <f t="shared" si="4"/>
        <v>0</v>
      </c>
      <c r="J270" s="12"/>
      <c r="K270" s="18" t="str">
        <f>IFERROR(VLOOKUP(A270,Proveedores!B268:H481,3,0), "")</f>
        <v/>
      </c>
    </row>
    <row r="271" ht="21.75" customHeight="1">
      <c r="A271" s="16" t="str">
        <f>Productos!B269</f>
        <v/>
      </c>
      <c r="B271" s="16" t="str">
        <f>Productos!C269</f>
        <v/>
      </c>
      <c r="C271" s="16" t="str">
        <f>Productos!E269</f>
        <v/>
      </c>
      <c r="D271" s="13" t="str">
        <f>Productos!F269</f>
        <v/>
      </c>
      <c r="E271" s="13" t="str">
        <f>Productos!G269</f>
        <v/>
      </c>
      <c r="F271" s="19"/>
      <c r="G271" s="13">
        <f t="shared" si="2"/>
        <v>0</v>
      </c>
      <c r="H271" s="13">
        <f t="shared" si="3"/>
        <v>0</v>
      </c>
      <c r="I271" s="13">
        <f t="shared" si="4"/>
        <v>0</v>
      </c>
      <c r="J271" s="12"/>
      <c r="K271" s="18" t="str">
        <f>IFERROR(VLOOKUP(A271,Proveedores!B269:H482,3,0), "")</f>
        <v/>
      </c>
    </row>
    <row r="272" ht="21.75" customHeight="1">
      <c r="A272" s="16" t="str">
        <f>Productos!B270</f>
        <v/>
      </c>
      <c r="B272" s="16" t="str">
        <f>Productos!C270</f>
        <v/>
      </c>
      <c r="C272" s="16" t="str">
        <f>Productos!E270</f>
        <v/>
      </c>
      <c r="D272" s="13" t="str">
        <f>Productos!F270</f>
        <v/>
      </c>
      <c r="E272" s="13" t="str">
        <f>Productos!G270</f>
        <v/>
      </c>
      <c r="F272" s="19"/>
      <c r="G272" s="13">
        <f t="shared" si="2"/>
        <v>0</v>
      </c>
      <c r="H272" s="13">
        <f t="shared" si="3"/>
        <v>0</v>
      </c>
      <c r="I272" s="13">
        <f t="shared" si="4"/>
        <v>0</v>
      </c>
      <c r="J272" s="12"/>
      <c r="K272" s="18" t="str">
        <f>IFERROR(VLOOKUP(A272,Proveedores!B270:H483,3,0), "")</f>
        <v/>
      </c>
    </row>
    <row r="273" ht="21.75" customHeight="1">
      <c r="A273" s="16" t="str">
        <f>Productos!B271</f>
        <v/>
      </c>
      <c r="B273" s="16" t="str">
        <f>Productos!C271</f>
        <v/>
      </c>
      <c r="C273" s="16" t="str">
        <f>Productos!E271</f>
        <v/>
      </c>
      <c r="D273" s="13" t="str">
        <f>Productos!F271</f>
        <v/>
      </c>
      <c r="E273" s="13" t="str">
        <f>Productos!G271</f>
        <v/>
      </c>
      <c r="F273" s="19"/>
      <c r="G273" s="13">
        <f t="shared" si="2"/>
        <v>0</v>
      </c>
      <c r="H273" s="13">
        <f t="shared" si="3"/>
        <v>0</v>
      </c>
      <c r="I273" s="13">
        <f t="shared" si="4"/>
        <v>0</v>
      </c>
      <c r="J273" s="12"/>
      <c r="K273" s="18" t="str">
        <f>IFERROR(VLOOKUP(A273,Proveedores!B271:H484,3,0), "")</f>
        <v/>
      </c>
    </row>
    <row r="274" ht="21.75" customHeight="1">
      <c r="A274" s="16" t="str">
        <f>Productos!B272</f>
        <v/>
      </c>
      <c r="B274" s="16" t="str">
        <f>Productos!C272</f>
        <v/>
      </c>
      <c r="C274" s="16" t="str">
        <f>Productos!E272</f>
        <v/>
      </c>
      <c r="D274" s="13" t="str">
        <f>Productos!F272</f>
        <v/>
      </c>
      <c r="E274" s="13" t="str">
        <f>Productos!G272</f>
        <v/>
      </c>
      <c r="F274" s="19"/>
      <c r="G274" s="13">
        <f t="shared" si="2"/>
        <v>0</v>
      </c>
      <c r="H274" s="13">
        <f t="shared" si="3"/>
        <v>0</v>
      </c>
      <c r="I274" s="13">
        <f t="shared" si="4"/>
        <v>0</v>
      </c>
      <c r="J274" s="12"/>
      <c r="K274" s="18" t="str">
        <f>IFERROR(VLOOKUP(A274,Proveedores!B272:H485,3,0), "")</f>
        <v/>
      </c>
    </row>
    <row r="275" ht="21.75" customHeight="1">
      <c r="A275" s="16" t="str">
        <f>Productos!B273</f>
        <v/>
      </c>
      <c r="B275" s="16" t="str">
        <f>Productos!C273</f>
        <v/>
      </c>
      <c r="C275" s="16" t="str">
        <f>Productos!E273</f>
        <v/>
      </c>
      <c r="D275" s="13" t="str">
        <f>Productos!F273</f>
        <v/>
      </c>
      <c r="E275" s="13" t="str">
        <f>Productos!G273</f>
        <v/>
      </c>
      <c r="F275" s="19"/>
      <c r="G275" s="13">
        <f t="shared" si="2"/>
        <v>0</v>
      </c>
      <c r="H275" s="13">
        <f t="shared" si="3"/>
        <v>0</v>
      </c>
      <c r="I275" s="13">
        <f t="shared" si="4"/>
        <v>0</v>
      </c>
      <c r="J275" s="12"/>
      <c r="K275" s="18" t="str">
        <f>IFERROR(VLOOKUP(A275,Proveedores!B273:H486,3,0), "")</f>
        <v/>
      </c>
    </row>
    <row r="276" ht="21.75" customHeight="1">
      <c r="A276" s="16" t="str">
        <f>Productos!B274</f>
        <v/>
      </c>
      <c r="B276" s="16" t="str">
        <f>Productos!C274</f>
        <v/>
      </c>
      <c r="C276" s="16" t="str">
        <f>Productos!E274</f>
        <v/>
      </c>
      <c r="D276" s="13" t="str">
        <f>Productos!F274</f>
        <v/>
      </c>
      <c r="E276" s="13" t="str">
        <f>Productos!G274</f>
        <v/>
      </c>
      <c r="F276" s="19"/>
      <c r="G276" s="13">
        <f t="shared" si="2"/>
        <v>0</v>
      </c>
      <c r="H276" s="13">
        <f t="shared" si="3"/>
        <v>0</v>
      </c>
      <c r="I276" s="13">
        <f t="shared" si="4"/>
        <v>0</v>
      </c>
      <c r="J276" s="12"/>
      <c r="K276" s="18" t="str">
        <f>IFERROR(VLOOKUP(A276,Proveedores!B274:H487,3,0), "")</f>
        <v/>
      </c>
    </row>
    <row r="277" ht="21.75" customHeight="1">
      <c r="A277" s="16" t="str">
        <f>Productos!B275</f>
        <v/>
      </c>
      <c r="B277" s="16" t="str">
        <f>Productos!C275</f>
        <v/>
      </c>
      <c r="C277" s="16" t="str">
        <f>Productos!E275</f>
        <v/>
      </c>
      <c r="D277" s="13" t="str">
        <f>Productos!F275</f>
        <v/>
      </c>
      <c r="E277" s="13" t="str">
        <f>Productos!G275</f>
        <v/>
      </c>
      <c r="F277" s="19"/>
      <c r="G277" s="13">
        <f t="shared" si="2"/>
        <v>0</v>
      </c>
      <c r="H277" s="13">
        <f t="shared" si="3"/>
        <v>0</v>
      </c>
      <c r="I277" s="13">
        <f t="shared" si="4"/>
        <v>0</v>
      </c>
      <c r="J277" s="12"/>
      <c r="K277" s="18" t="str">
        <f>IFERROR(VLOOKUP(A277,Proveedores!B275:H488,3,0), "")</f>
        <v/>
      </c>
    </row>
    <row r="278" ht="21.75" customHeight="1">
      <c r="A278" s="16" t="str">
        <f>Productos!B276</f>
        <v/>
      </c>
      <c r="B278" s="16" t="str">
        <f>Productos!C276</f>
        <v/>
      </c>
      <c r="C278" s="16" t="str">
        <f>Productos!E276</f>
        <v/>
      </c>
      <c r="D278" s="13" t="str">
        <f>Productos!F276</f>
        <v/>
      </c>
      <c r="E278" s="13" t="str">
        <f>Productos!G276</f>
        <v/>
      </c>
      <c r="F278" s="19"/>
      <c r="G278" s="13">
        <f t="shared" si="2"/>
        <v>0</v>
      </c>
      <c r="H278" s="13">
        <f t="shared" si="3"/>
        <v>0</v>
      </c>
      <c r="I278" s="13">
        <f t="shared" si="4"/>
        <v>0</v>
      </c>
      <c r="J278" s="12"/>
      <c r="K278" s="18" t="str">
        <f>IFERROR(VLOOKUP(A278,Proveedores!B276:H489,3,0), "")</f>
        <v/>
      </c>
    </row>
    <row r="279" ht="21.75" customHeight="1">
      <c r="A279" s="16" t="str">
        <f>Productos!B277</f>
        <v/>
      </c>
      <c r="B279" s="16" t="str">
        <f>Productos!C277</f>
        <v/>
      </c>
      <c r="C279" s="16" t="str">
        <f>Productos!E277</f>
        <v/>
      </c>
      <c r="D279" s="13" t="str">
        <f>Productos!F277</f>
        <v/>
      </c>
      <c r="E279" s="13" t="str">
        <f>Productos!G277</f>
        <v/>
      </c>
      <c r="F279" s="19"/>
      <c r="G279" s="13">
        <f t="shared" si="2"/>
        <v>0</v>
      </c>
      <c r="H279" s="13">
        <f t="shared" si="3"/>
        <v>0</v>
      </c>
      <c r="I279" s="13">
        <f t="shared" si="4"/>
        <v>0</v>
      </c>
      <c r="J279" s="12"/>
      <c r="K279" s="18" t="str">
        <f>IFERROR(VLOOKUP(A279,Proveedores!B277:H490,3,0), "")</f>
        <v/>
      </c>
    </row>
    <row r="280" ht="21.75" customHeight="1">
      <c r="A280" s="16" t="str">
        <f>Productos!B278</f>
        <v/>
      </c>
      <c r="B280" s="16" t="str">
        <f>Productos!C278</f>
        <v/>
      </c>
      <c r="C280" s="16" t="str">
        <f>Productos!E278</f>
        <v/>
      </c>
      <c r="D280" s="13" t="str">
        <f>Productos!F278</f>
        <v/>
      </c>
      <c r="E280" s="13" t="str">
        <f>Productos!G278</f>
        <v/>
      </c>
      <c r="F280" s="19"/>
      <c r="G280" s="13">
        <f t="shared" si="2"/>
        <v>0</v>
      </c>
      <c r="H280" s="13">
        <f t="shared" si="3"/>
        <v>0</v>
      </c>
      <c r="I280" s="13">
        <f t="shared" si="4"/>
        <v>0</v>
      </c>
      <c r="J280" s="12"/>
      <c r="K280" s="18" t="str">
        <f>IFERROR(VLOOKUP(A280,Proveedores!B278:H491,3,0), "")</f>
        <v/>
      </c>
    </row>
    <row r="281" ht="21.75" customHeight="1">
      <c r="A281" s="16" t="str">
        <f>Productos!B279</f>
        <v/>
      </c>
      <c r="B281" s="16" t="str">
        <f>Productos!C279</f>
        <v/>
      </c>
      <c r="C281" s="16" t="str">
        <f>Productos!E279</f>
        <v/>
      </c>
      <c r="D281" s="13" t="str">
        <f>Productos!F279</f>
        <v/>
      </c>
      <c r="E281" s="13" t="str">
        <f>Productos!G279</f>
        <v/>
      </c>
      <c r="F281" s="19"/>
      <c r="G281" s="13">
        <f t="shared" si="2"/>
        <v>0</v>
      </c>
      <c r="H281" s="13">
        <f t="shared" si="3"/>
        <v>0</v>
      </c>
      <c r="I281" s="13">
        <f t="shared" si="4"/>
        <v>0</v>
      </c>
      <c r="J281" s="12"/>
      <c r="K281" s="18" t="str">
        <f>IFERROR(VLOOKUP(A281,Proveedores!B279:H492,3,0), "")</f>
        <v/>
      </c>
    </row>
    <row r="282" ht="21.75" customHeight="1">
      <c r="A282" s="16" t="str">
        <f>Productos!B280</f>
        <v/>
      </c>
      <c r="B282" s="16" t="str">
        <f>Productos!C280</f>
        <v/>
      </c>
      <c r="C282" s="16" t="str">
        <f>Productos!E280</f>
        <v/>
      </c>
      <c r="D282" s="13" t="str">
        <f>Productos!F280</f>
        <v/>
      </c>
      <c r="E282" s="13" t="str">
        <f>Productos!G280</f>
        <v/>
      </c>
      <c r="F282" s="19"/>
      <c r="G282" s="13">
        <f t="shared" si="2"/>
        <v>0</v>
      </c>
      <c r="H282" s="13">
        <f t="shared" si="3"/>
        <v>0</v>
      </c>
      <c r="I282" s="13">
        <f t="shared" si="4"/>
        <v>0</v>
      </c>
      <c r="J282" s="12"/>
      <c r="K282" s="18" t="str">
        <f>IFERROR(VLOOKUP(A282,Proveedores!B280:H493,3,0), "")</f>
        <v/>
      </c>
    </row>
    <row r="283" ht="21.75" customHeight="1">
      <c r="A283" s="16" t="str">
        <f>Productos!B281</f>
        <v/>
      </c>
      <c r="B283" s="16" t="str">
        <f>Productos!C281</f>
        <v/>
      </c>
      <c r="C283" s="16" t="str">
        <f>Productos!E281</f>
        <v/>
      </c>
      <c r="D283" s="13" t="str">
        <f>Productos!F281</f>
        <v/>
      </c>
      <c r="E283" s="13" t="str">
        <f>Productos!G281</f>
        <v/>
      </c>
      <c r="F283" s="19"/>
      <c r="G283" s="13">
        <f t="shared" si="2"/>
        <v>0</v>
      </c>
      <c r="H283" s="13">
        <f t="shared" si="3"/>
        <v>0</v>
      </c>
      <c r="I283" s="13">
        <f t="shared" si="4"/>
        <v>0</v>
      </c>
      <c r="J283" s="12"/>
      <c r="K283" s="18" t="str">
        <f>IFERROR(VLOOKUP(A283,Proveedores!B281:H494,3,0), "")</f>
        <v/>
      </c>
    </row>
    <row r="284" ht="21.75" customHeight="1">
      <c r="A284" s="16" t="str">
        <f>Productos!B282</f>
        <v/>
      </c>
      <c r="B284" s="16" t="str">
        <f>Productos!C282</f>
        <v/>
      </c>
      <c r="C284" s="16" t="str">
        <f>Productos!E282</f>
        <v/>
      </c>
      <c r="D284" s="13" t="str">
        <f>Productos!F282</f>
        <v/>
      </c>
      <c r="E284" s="13" t="str">
        <f>Productos!G282</f>
        <v/>
      </c>
      <c r="F284" s="19"/>
      <c r="G284" s="13">
        <f t="shared" si="2"/>
        <v>0</v>
      </c>
      <c r="H284" s="13">
        <f t="shared" si="3"/>
        <v>0</v>
      </c>
      <c r="I284" s="13">
        <f t="shared" si="4"/>
        <v>0</v>
      </c>
      <c r="J284" s="12"/>
      <c r="K284" s="18" t="str">
        <f>IFERROR(VLOOKUP(A284,Proveedores!B282:H495,3,0), "")</f>
        <v/>
      </c>
    </row>
    <row r="285" ht="21.75" customHeight="1">
      <c r="A285" s="16" t="str">
        <f>Productos!B283</f>
        <v/>
      </c>
      <c r="B285" s="16" t="str">
        <f>Productos!C283</f>
        <v/>
      </c>
      <c r="C285" s="16" t="str">
        <f>Productos!E283</f>
        <v/>
      </c>
      <c r="D285" s="13" t="str">
        <f>Productos!F283</f>
        <v/>
      </c>
      <c r="E285" s="13" t="str">
        <f>Productos!G283</f>
        <v/>
      </c>
      <c r="F285" s="19"/>
      <c r="G285" s="13">
        <f t="shared" si="2"/>
        <v>0</v>
      </c>
      <c r="H285" s="13">
        <f t="shared" si="3"/>
        <v>0</v>
      </c>
      <c r="I285" s="13">
        <f t="shared" si="4"/>
        <v>0</v>
      </c>
      <c r="J285" s="12"/>
      <c r="K285" s="18" t="str">
        <f>IFERROR(VLOOKUP(A285,Proveedores!B283:H496,3,0), "")</f>
        <v/>
      </c>
    </row>
    <row r="286" ht="21.75" customHeight="1">
      <c r="A286" s="16" t="str">
        <f>Productos!B284</f>
        <v/>
      </c>
      <c r="B286" s="16" t="str">
        <f>Productos!C284</f>
        <v/>
      </c>
      <c r="C286" s="16" t="str">
        <f>Productos!E284</f>
        <v/>
      </c>
      <c r="D286" s="13" t="str">
        <f>Productos!F284</f>
        <v/>
      </c>
      <c r="E286" s="13" t="str">
        <f>Productos!G284</f>
        <v/>
      </c>
      <c r="F286" s="19"/>
      <c r="G286" s="13">
        <f t="shared" si="2"/>
        <v>0</v>
      </c>
      <c r="H286" s="13">
        <f t="shared" si="3"/>
        <v>0</v>
      </c>
      <c r="I286" s="13">
        <f t="shared" si="4"/>
        <v>0</v>
      </c>
      <c r="J286" s="12"/>
      <c r="K286" s="18" t="str">
        <f>IFERROR(VLOOKUP(A286,Proveedores!B284:H497,3,0), "")</f>
        <v/>
      </c>
    </row>
    <row r="287" ht="21.75" customHeight="1">
      <c r="A287" s="16" t="str">
        <f>Productos!B285</f>
        <v/>
      </c>
      <c r="B287" s="16" t="str">
        <f>Productos!C285</f>
        <v/>
      </c>
      <c r="C287" s="16" t="str">
        <f>Productos!E285</f>
        <v/>
      </c>
      <c r="D287" s="13" t="str">
        <f>Productos!F285</f>
        <v/>
      </c>
      <c r="E287" s="13" t="str">
        <f>Productos!G285</f>
        <v/>
      </c>
      <c r="F287" s="19"/>
      <c r="G287" s="13">
        <f t="shared" si="2"/>
        <v>0</v>
      </c>
      <c r="H287" s="13">
        <f t="shared" si="3"/>
        <v>0</v>
      </c>
      <c r="I287" s="13">
        <f t="shared" si="4"/>
        <v>0</v>
      </c>
      <c r="J287" s="12"/>
      <c r="K287" s="18" t="str">
        <f>IFERROR(VLOOKUP(A287,Proveedores!B285:H498,3,0), "")</f>
        <v/>
      </c>
    </row>
    <row r="288" ht="21.75" customHeight="1">
      <c r="A288" s="16" t="str">
        <f>Productos!B286</f>
        <v/>
      </c>
      <c r="B288" s="16" t="str">
        <f>Productos!C286</f>
        <v/>
      </c>
      <c r="C288" s="16" t="str">
        <f>Productos!E286</f>
        <v/>
      </c>
      <c r="D288" s="13" t="str">
        <f>Productos!F286</f>
        <v/>
      </c>
      <c r="E288" s="13" t="str">
        <f>Productos!G286</f>
        <v/>
      </c>
      <c r="F288" s="19"/>
      <c r="G288" s="13">
        <f t="shared" si="2"/>
        <v>0</v>
      </c>
      <c r="H288" s="13">
        <f t="shared" si="3"/>
        <v>0</v>
      </c>
      <c r="I288" s="13">
        <f t="shared" si="4"/>
        <v>0</v>
      </c>
      <c r="J288" s="12"/>
      <c r="K288" s="18" t="str">
        <f>IFERROR(VLOOKUP(A288,Proveedores!B286:H499,3,0), "")</f>
        <v/>
      </c>
    </row>
    <row r="289" ht="21.75" customHeight="1">
      <c r="A289" s="16" t="str">
        <f>Productos!B287</f>
        <v/>
      </c>
      <c r="B289" s="16" t="str">
        <f>Productos!C287</f>
        <v/>
      </c>
      <c r="C289" s="16" t="str">
        <f>Productos!E287</f>
        <v/>
      </c>
      <c r="D289" s="13" t="str">
        <f>Productos!F287</f>
        <v/>
      </c>
      <c r="E289" s="13" t="str">
        <f>Productos!G287</f>
        <v/>
      </c>
      <c r="F289" s="19"/>
      <c r="G289" s="13">
        <f t="shared" si="2"/>
        <v>0</v>
      </c>
      <c r="H289" s="13">
        <f t="shared" si="3"/>
        <v>0</v>
      </c>
      <c r="I289" s="13">
        <f t="shared" si="4"/>
        <v>0</v>
      </c>
      <c r="J289" s="12"/>
      <c r="K289" s="18" t="str">
        <f>IFERROR(VLOOKUP(A289,Proveedores!B287:H500,3,0), "")</f>
        <v/>
      </c>
    </row>
    <row r="290" ht="21.75" customHeight="1">
      <c r="A290" s="16" t="str">
        <f>Productos!B288</f>
        <v/>
      </c>
      <c r="B290" s="16" t="str">
        <f>Productos!C288</f>
        <v/>
      </c>
      <c r="C290" s="16" t="str">
        <f>Productos!E288</f>
        <v/>
      </c>
      <c r="D290" s="13" t="str">
        <f>Productos!F288</f>
        <v/>
      </c>
      <c r="E290" s="13" t="str">
        <f>Productos!G288</f>
        <v/>
      </c>
      <c r="F290" s="19"/>
      <c r="G290" s="13">
        <f t="shared" si="2"/>
        <v>0</v>
      </c>
      <c r="H290" s="13">
        <f t="shared" si="3"/>
        <v>0</v>
      </c>
      <c r="I290" s="13">
        <f t="shared" si="4"/>
        <v>0</v>
      </c>
      <c r="J290" s="12"/>
      <c r="K290" s="18" t="str">
        <f>IFERROR(VLOOKUP(A290,Proveedores!B288:H501,3,0), "")</f>
        <v/>
      </c>
    </row>
    <row r="291" ht="21.75" customHeight="1">
      <c r="A291" s="16" t="str">
        <f>Productos!B289</f>
        <v/>
      </c>
      <c r="B291" s="16" t="str">
        <f>Productos!C289</f>
        <v/>
      </c>
      <c r="C291" s="16" t="str">
        <f>Productos!E289</f>
        <v/>
      </c>
      <c r="D291" s="13" t="str">
        <f>Productos!F289</f>
        <v/>
      </c>
      <c r="E291" s="13" t="str">
        <f>Productos!G289</f>
        <v/>
      </c>
      <c r="F291" s="19"/>
      <c r="G291" s="13">
        <f t="shared" si="2"/>
        <v>0</v>
      </c>
      <c r="H291" s="13">
        <f t="shared" si="3"/>
        <v>0</v>
      </c>
      <c r="I291" s="13">
        <f t="shared" si="4"/>
        <v>0</v>
      </c>
      <c r="J291" s="12"/>
      <c r="K291" s="18" t="str">
        <f>IFERROR(VLOOKUP(A291,Proveedores!B289:H502,3,0), "")</f>
        <v/>
      </c>
    </row>
    <row r="292" ht="21.75" customHeight="1">
      <c r="A292" s="16" t="str">
        <f>Productos!B290</f>
        <v/>
      </c>
      <c r="B292" s="16" t="str">
        <f>Productos!C290</f>
        <v/>
      </c>
      <c r="C292" s="16" t="str">
        <f>Productos!E290</f>
        <v/>
      </c>
      <c r="D292" s="13" t="str">
        <f>Productos!F290</f>
        <v/>
      </c>
      <c r="E292" s="13" t="str">
        <f>Productos!G290</f>
        <v/>
      </c>
      <c r="F292" s="19"/>
      <c r="G292" s="13">
        <f t="shared" si="2"/>
        <v>0</v>
      </c>
      <c r="H292" s="13">
        <f t="shared" si="3"/>
        <v>0</v>
      </c>
      <c r="I292" s="13">
        <f t="shared" si="4"/>
        <v>0</v>
      </c>
      <c r="J292" s="12"/>
      <c r="K292" s="18" t="str">
        <f>IFERROR(VLOOKUP(A292,Proveedores!B290:H503,3,0), "")</f>
        <v/>
      </c>
    </row>
    <row r="293" ht="21.75" customHeight="1">
      <c r="A293" s="16" t="str">
        <f>Productos!B291</f>
        <v/>
      </c>
      <c r="B293" s="16" t="str">
        <f>Productos!C291</f>
        <v/>
      </c>
      <c r="C293" s="16" t="str">
        <f>Productos!E291</f>
        <v/>
      </c>
      <c r="D293" s="13" t="str">
        <f>Productos!F291</f>
        <v/>
      </c>
      <c r="E293" s="13" t="str">
        <f>Productos!G291</f>
        <v/>
      </c>
      <c r="F293" s="19"/>
      <c r="G293" s="13">
        <f t="shared" si="2"/>
        <v>0</v>
      </c>
      <c r="H293" s="13">
        <f t="shared" si="3"/>
        <v>0</v>
      </c>
      <c r="I293" s="13">
        <f t="shared" si="4"/>
        <v>0</v>
      </c>
      <c r="J293" s="12"/>
      <c r="K293" s="18" t="str">
        <f>IFERROR(VLOOKUP(A293,Proveedores!B291:H504,3,0), "")</f>
        <v/>
      </c>
    </row>
    <row r="294" ht="21.75" customHeight="1">
      <c r="A294" s="16" t="str">
        <f>Productos!B292</f>
        <v/>
      </c>
      <c r="B294" s="16" t="str">
        <f>Productos!C292</f>
        <v/>
      </c>
      <c r="C294" s="16" t="str">
        <f>Productos!E292</f>
        <v/>
      </c>
      <c r="D294" s="13" t="str">
        <f>Productos!F292</f>
        <v/>
      </c>
      <c r="E294" s="13" t="str">
        <f>Productos!G292</f>
        <v/>
      </c>
      <c r="F294" s="19"/>
      <c r="G294" s="13">
        <f t="shared" si="2"/>
        <v>0</v>
      </c>
      <c r="H294" s="13">
        <f t="shared" si="3"/>
        <v>0</v>
      </c>
      <c r="I294" s="13">
        <f t="shared" si="4"/>
        <v>0</v>
      </c>
      <c r="J294" s="12"/>
      <c r="K294" s="18" t="str">
        <f>IFERROR(VLOOKUP(A294,Proveedores!B292:H505,3,0), "")</f>
        <v/>
      </c>
    </row>
    <row r="295" ht="21.75" customHeight="1">
      <c r="A295" s="16" t="str">
        <f>Productos!B293</f>
        <v/>
      </c>
      <c r="B295" s="16" t="str">
        <f>Productos!C293</f>
        <v/>
      </c>
      <c r="C295" s="16" t="str">
        <f>Productos!E293</f>
        <v/>
      </c>
      <c r="D295" s="13" t="str">
        <f>Productos!F293</f>
        <v/>
      </c>
      <c r="E295" s="13" t="str">
        <f>Productos!G293</f>
        <v/>
      </c>
      <c r="F295" s="19"/>
      <c r="G295" s="13">
        <f t="shared" si="2"/>
        <v>0</v>
      </c>
      <c r="H295" s="13">
        <f t="shared" si="3"/>
        <v>0</v>
      </c>
      <c r="I295" s="13">
        <f t="shared" si="4"/>
        <v>0</v>
      </c>
      <c r="J295" s="12"/>
      <c r="K295" s="18" t="str">
        <f>IFERROR(VLOOKUP(A295,Proveedores!B293:H506,3,0), "")</f>
        <v/>
      </c>
    </row>
    <row r="296" ht="21.75" customHeight="1">
      <c r="A296" s="16" t="str">
        <f>Productos!B294</f>
        <v/>
      </c>
      <c r="B296" s="16" t="str">
        <f>Productos!C294</f>
        <v/>
      </c>
      <c r="C296" s="16" t="str">
        <f>Productos!E294</f>
        <v/>
      </c>
      <c r="D296" s="13" t="str">
        <f>Productos!F294</f>
        <v/>
      </c>
      <c r="E296" s="13" t="str">
        <f>Productos!G294</f>
        <v/>
      </c>
      <c r="F296" s="19"/>
      <c r="G296" s="13">
        <f t="shared" si="2"/>
        <v>0</v>
      </c>
      <c r="H296" s="13">
        <f t="shared" si="3"/>
        <v>0</v>
      </c>
      <c r="I296" s="13">
        <f t="shared" si="4"/>
        <v>0</v>
      </c>
      <c r="J296" s="12"/>
      <c r="K296" s="18" t="str">
        <f>IFERROR(VLOOKUP(A296,Proveedores!B294:H507,3,0), "")</f>
        <v/>
      </c>
    </row>
    <row r="297" ht="21.75" customHeight="1">
      <c r="A297" s="16" t="str">
        <f>Productos!B295</f>
        <v/>
      </c>
      <c r="B297" s="16" t="str">
        <f>Productos!C295</f>
        <v/>
      </c>
      <c r="C297" s="16" t="str">
        <f>Productos!E295</f>
        <v/>
      </c>
      <c r="D297" s="13" t="str">
        <f>Productos!F295</f>
        <v/>
      </c>
      <c r="E297" s="13" t="str">
        <f>Productos!G295</f>
        <v/>
      </c>
      <c r="F297" s="19"/>
      <c r="G297" s="13">
        <f t="shared" si="2"/>
        <v>0</v>
      </c>
      <c r="H297" s="13">
        <f t="shared" si="3"/>
        <v>0</v>
      </c>
      <c r="I297" s="13">
        <f t="shared" si="4"/>
        <v>0</v>
      </c>
      <c r="J297" s="12"/>
      <c r="K297" s="18" t="str">
        <f>IFERROR(VLOOKUP(A297,Proveedores!B295:H508,3,0), "")</f>
        <v/>
      </c>
    </row>
    <row r="298" ht="21.75" customHeight="1">
      <c r="A298" s="16" t="str">
        <f>Productos!B296</f>
        <v/>
      </c>
      <c r="B298" s="16" t="str">
        <f>Productos!C296</f>
        <v/>
      </c>
      <c r="C298" s="16" t="str">
        <f>Productos!E296</f>
        <v/>
      </c>
      <c r="D298" s="13" t="str">
        <f>Productos!F296</f>
        <v/>
      </c>
      <c r="E298" s="13" t="str">
        <f>Productos!G296</f>
        <v/>
      </c>
      <c r="F298" s="19"/>
      <c r="G298" s="13">
        <f t="shared" si="2"/>
        <v>0</v>
      </c>
      <c r="H298" s="13">
        <f t="shared" si="3"/>
        <v>0</v>
      </c>
      <c r="I298" s="13">
        <f t="shared" si="4"/>
        <v>0</v>
      </c>
      <c r="J298" s="12"/>
      <c r="K298" s="18" t="str">
        <f>IFERROR(VLOOKUP(A298,Proveedores!B296:H509,3,0), "")</f>
        <v/>
      </c>
    </row>
    <row r="299" ht="21.75" customHeight="1">
      <c r="A299" s="16" t="str">
        <f>Productos!B297</f>
        <v/>
      </c>
      <c r="B299" s="16" t="str">
        <f>Productos!C297</f>
        <v/>
      </c>
      <c r="C299" s="16" t="str">
        <f>Productos!E297</f>
        <v/>
      </c>
      <c r="D299" s="13" t="str">
        <f>Productos!F297</f>
        <v/>
      </c>
      <c r="E299" s="13" t="str">
        <f>Productos!G297</f>
        <v/>
      </c>
      <c r="F299" s="19"/>
      <c r="G299" s="13">
        <f t="shared" si="2"/>
        <v>0</v>
      </c>
      <c r="H299" s="13">
        <f t="shared" si="3"/>
        <v>0</v>
      </c>
      <c r="I299" s="13">
        <f t="shared" si="4"/>
        <v>0</v>
      </c>
      <c r="J299" s="12"/>
      <c r="K299" s="18" t="str">
        <f>IFERROR(VLOOKUP(A299,Proveedores!B297:H510,3,0), "")</f>
        <v/>
      </c>
    </row>
    <row r="300" ht="21.75" customHeight="1">
      <c r="A300" s="16" t="str">
        <f>Productos!B298</f>
        <v/>
      </c>
      <c r="B300" s="16" t="str">
        <f>Productos!C298</f>
        <v/>
      </c>
      <c r="C300" s="16" t="str">
        <f>Productos!E298</f>
        <v/>
      </c>
      <c r="D300" s="13" t="str">
        <f>Productos!F298</f>
        <v/>
      </c>
      <c r="E300" s="13" t="str">
        <f>Productos!G298</f>
        <v/>
      </c>
      <c r="F300" s="19"/>
      <c r="G300" s="13">
        <f t="shared" si="2"/>
        <v>0</v>
      </c>
      <c r="H300" s="13">
        <f t="shared" si="3"/>
        <v>0</v>
      </c>
      <c r="I300" s="13">
        <f t="shared" si="4"/>
        <v>0</v>
      </c>
      <c r="J300" s="12"/>
      <c r="K300" s="18" t="str">
        <f>IFERROR(VLOOKUP(A300,Proveedores!B298:H511,3,0), "")</f>
        <v/>
      </c>
    </row>
    <row r="301" ht="21.75" customHeight="1">
      <c r="A301" s="16" t="str">
        <f>Productos!B299</f>
        <v/>
      </c>
      <c r="B301" s="16" t="str">
        <f>Productos!C299</f>
        <v/>
      </c>
      <c r="C301" s="16" t="str">
        <f>Productos!E299</f>
        <v/>
      </c>
      <c r="D301" s="13" t="str">
        <f>Productos!F299</f>
        <v/>
      </c>
      <c r="E301" s="13" t="str">
        <f>Productos!G299</f>
        <v/>
      </c>
      <c r="F301" s="19"/>
      <c r="G301" s="13">
        <f t="shared" si="2"/>
        <v>0</v>
      </c>
      <c r="H301" s="13">
        <f t="shared" si="3"/>
        <v>0</v>
      </c>
      <c r="I301" s="13">
        <f t="shared" si="4"/>
        <v>0</v>
      </c>
      <c r="J301" s="12"/>
      <c r="K301" s="18" t="str">
        <f>IFERROR(VLOOKUP(A301,Proveedores!B299:H512,3,0), "")</f>
        <v/>
      </c>
    </row>
    <row r="302" ht="21.75" customHeight="1">
      <c r="A302" s="16" t="str">
        <f>Productos!B300</f>
        <v/>
      </c>
      <c r="B302" s="16" t="str">
        <f>Productos!C300</f>
        <v/>
      </c>
      <c r="C302" s="16" t="str">
        <f>Productos!E300</f>
        <v/>
      </c>
      <c r="D302" s="13" t="str">
        <f>Productos!F300</f>
        <v/>
      </c>
      <c r="E302" s="13" t="str">
        <f>Productos!G300</f>
        <v/>
      </c>
      <c r="F302" s="19"/>
      <c r="G302" s="13">
        <f t="shared" si="2"/>
        <v>0</v>
      </c>
      <c r="H302" s="13">
        <f t="shared" si="3"/>
        <v>0</v>
      </c>
      <c r="I302" s="13">
        <f t="shared" si="4"/>
        <v>0</v>
      </c>
      <c r="J302" s="12"/>
      <c r="K302" s="18" t="str">
        <f>IFERROR(VLOOKUP(A302,Proveedores!B300:H513,3,0), "")</f>
        <v/>
      </c>
    </row>
    <row r="303" ht="21.75" customHeight="1">
      <c r="A303" s="16" t="str">
        <f>Productos!B301</f>
        <v/>
      </c>
      <c r="B303" s="16" t="str">
        <f>Productos!C301</f>
        <v/>
      </c>
      <c r="C303" s="16" t="str">
        <f>Productos!E301</f>
        <v/>
      </c>
      <c r="D303" s="13" t="str">
        <f>Productos!F301</f>
        <v/>
      </c>
      <c r="E303" s="13" t="str">
        <f>Productos!G301</f>
        <v/>
      </c>
      <c r="F303" s="19"/>
      <c r="G303" s="13">
        <f t="shared" si="2"/>
        <v>0</v>
      </c>
      <c r="H303" s="13">
        <f t="shared" si="3"/>
        <v>0</v>
      </c>
      <c r="I303" s="13">
        <f t="shared" si="4"/>
        <v>0</v>
      </c>
      <c r="J303" s="12"/>
      <c r="K303" s="18" t="str">
        <f>IFERROR(VLOOKUP(A303,Proveedores!B301:H514,3,0), "")</f>
        <v/>
      </c>
    </row>
    <row r="304" ht="21.75" customHeight="1">
      <c r="A304" s="16" t="str">
        <f>Productos!B302</f>
        <v/>
      </c>
      <c r="B304" s="16" t="str">
        <f>Productos!C302</f>
        <v/>
      </c>
      <c r="C304" s="16" t="str">
        <f>Productos!E302</f>
        <v/>
      </c>
      <c r="D304" s="13" t="str">
        <f>Productos!F302</f>
        <v/>
      </c>
      <c r="E304" s="13" t="str">
        <f>Productos!G302</f>
        <v/>
      </c>
      <c r="F304" s="19"/>
      <c r="G304" s="13">
        <f t="shared" si="2"/>
        <v>0</v>
      </c>
      <c r="H304" s="13">
        <f t="shared" si="3"/>
        <v>0</v>
      </c>
      <c r="I304" s="13">
        <f t="shared" si="4"/>
        <v>0</v>
      </c>
      <c r="J304" s="12"/>
      <c r="K304" s="18" t="str">
        <f>IFERROR(VLOOKUP(A304,Proveedores!B302:H515,3,0), "")</f>
        <v/>
      </c>
    </row>
    <row r="305" ht="21.75" customHeight="1">
      <c r="A305" s="16" t="str">
        <f>Productos!B303</f>
        <v/>
      </c>
      <c r="B305" s="16" t="str">
        <f>Productos!C303</f>
        <v/>
      </c>
      <c r="C305" s="16" t="str">
        <f>Productos!E303</f>
        <v/>
      </c>
      <c r="D305" s="13" t="str">
        <f>Productos!F303</f>
        <v/>
      </c>
      <c r="E305" s="13" t="str">
        <f>Productos!G303</f>
        <v/>
      </c>
      <c r="F305" s="19"/>
      <c r="G305" s="13">
        <f t="shared" si="2"/>
        <v>0</v>
      </c>
      <c r="H305" s="13">
        <f t="shared" si="3"/>
        <v>0</v>
      </c>
      <c r="I305" s="13">
        <f t="shared" si="4"/>
        <v>0</v>
      </c>
      <c r="J305" s="12"/>
      <c r="K305" s="18" t="str">
        <f>IFERROR(VLOOKUP(A305,Proveedores!B303:H516,3,0), "")</f>
        <v/>
      </c>
    </row>
    <row r="306" ht="21.75" customHeight="1">
      <c r="A306" s="16" t="str">
        <f>Productos!B304</f>
        <v/>
      </c>
      <c r="B306" s="16" t="str">
        <f>Productos!C304</f>
        <v/>
      </c>
      <c r="C306" s="16" t="str">
        <f>Productos!E304</f>
        <v/>
      </c>
      <c r="D306" s="13" t="str">
        <f>Productos!F304</f>
        <v/>
      </c>
      <c r="E306" s="13" t="str">
        <f>Productos!G304</f>
        <v/>
      </c>
      <c r="F306" s="19"/>
      <c r="G306" s="13">
        <f t="shared" si="2"/>
        <v>0</v>
      </c>
      <c r="H306" s="13">
        <f t="shared" si="3"/>
        <v>0</v>
      </c>
      <c r="I306" s="13">
        <f t="shared" si="4"/>
        <v>0</v>
      </c>
      <c r="J306" s="12"/>
      <c r="K306" s="18" t="str">
        <f>IFERROR(VLOOKUP(A306,Proveedores!B304:H517,3,0), "")</f>
        <v/>
      </c>
    </row>
    <row r="307" ht="21.75" customHeight="1">
      <c r="A307" s="16" t="str">
        <f>Productos!B305</f>
        <v/>
      </c>
      <c r="B307" s="16" t="str">
        <f>Productos!C305</f>
        <v/>
      </c>
      <c r="C307" s="16" t="str">
        <f>Productos!E305</f>
        <v/>
      </c>
      <c r="D307" s="13" t="str">
        <f>Productos!F305</f>
        <v/>
      </c>
      <c r="E307" s="13" t="str">
        <f>Productos!G305</f>
        <v/>
      </c>
      <c r="F307" s="19"/>
      <c r="G307" s="13">
        <f t="shared" si="2"/>
        <v>0</v>
      </c>
      <c r="H307" s="13">
        <f t="shared" si="3"/>
        <v>0</v>
      </c>
      <c r="I307" s="13">
        <f t="shared" si="4"/>
        <v>0</v>
      </c>
      <c r="J307" s="12"/>
      <c r="K307" s="18" t="str">
        <f>IFERROR(VLOOKUP(A307,Proveedores!B305:H518,3,0), "")</f>
        <v/>
      </c>
    </row>
    <row r="308" ht="21.75" customHeight="1">
      <c r="A308" s="16" t="str">
        <f>Productos!B306</f>
        <v/>
      </c>
      <c r="B308" s="16" t="str">
        <f>Productos!C306</f>
        <v/>
      </c>
      <c r="C308" s="16" t="str">
        <f>Productos!E306</f>
        <v/>
      </c>
      <c r="D308" s="13" t="str">
        <f>Productos!F306</f>
        <v/>
      </c>
      <c r="E308" s="13" t="str">
        <f>Productos!G306</f>
        <v/>
      </c>
      <c r="F308" s="19"/>
      <c r="G308" s="13">
        <f t="shared" si="2"/>
        <v>0</v>
      </c>
      <c r="H308" s="13">
        <f t="shared" si="3"/>
        <v>0</v>
      </c>
      <c r="I308" s="13">
        <f t="shared" si="4"/>
        <v>0</v>
      </c>
      <c r="J308" s="12"/>
      <c r="K308" s="18" t="str">
        <f>IFERROR(VLOOKUP(A308,Proveedores!B306:H519,3,0), "")</f>
        <v/>
      </c>
    </row>
    <row r="309" ht="21.75" customHeight="1">
      <c r="A309" s="16" t="str">
        <f>Productos!B307</f>
        <v/>
      </c>
      <c r="B309" s="16" t="str">
        <f>Productos!C307</f>
        <v/>
      </c>
      <c r="C309" s="16" t="str">
        <f>Productos!E307</f>
        <v/>
      </c>
      <c r="D309" s="13" t="str">
        <f>Productos!F307</f>
        <v/>
      </c>
      <c r="E309" s="13" t="str">
        <f>Productos!G307</f>
        <v/>
      </c>
      <c r="F309" s="19"/>
      <c r="G309" s="13">
        <f t="shared" si="2"/>
        <v>0</v>
      </c>
      <c r="H309" s="13">
        <f t="shared" si="3"/>
        <v>0</v>
      </c>
      <c r="I309" s="13">
        <f t="shared" si="4"/>
        <v>0</v>
      </c>
      <c r="J309" s="12"/>
      <c r="K309" s="18" t="str">
        <f>IFERROR(VLOOKUP(A309,Proveedores!B307:H520,3,0), "")</f>
        <v/>
      </c>
    </row>
    <row r="310" ht="21.75" customHeight="1">
      <c r="A310" s="16" t="str">
        <f>Productos!B308</f>
        <v/>
      </c>
      <c r="B310" s="16" t="str">
        <f>Productos!C308</f>
        <v/>
      </c>
      <c r="C310" s="16" t="str">
        <f>Productos!E308</f>
        <v/>
      </c>
      <c r="D310" s="13" t="str">
        <f>Productos!F308</f>
        <v/>
      </c>
      <c r="E310" s="13" t="str">
        <f>Productos!G308</f>
        <v/>
      </c>
      <c r="F310" s="19"/>
      <c r="G310" s="13">
        <f t="shared" si="2"/>
        <v>0</v>
      </c>
      <c r="H310" s="13">
        <f t="shared" si="3"/>
        <v>0</v>
      </c>
      <c r="I310" s="13">
        <f t="shared" si="4"/>
        <v>0</v>
      </c>
      <c r="J310" s="12"/>
      <c r="K310" s="18" t="str">
        <f>IFERROR(VLOOKUP(A310,Proveedores!B308:H521,3,0), "")</f>
        <v/>
      </c>
    </row>
    <row r="311" ht="21.75" customHeight="1">
      <c r="A311" s="16" t="str">
        <f>Productos!B309</f>
        <v/>
      </c>
      <c r="B311" s="16" t="str">
        <f>Productos!C309</f>
        <v/>
      </c>
      <c r="C311" s="16" t="str">
        <f>Productos!E309</f>
        <v/>
      </c>
      <c r="D311" s="13" t="str">
        <f>Productos!F309</f>
        <v/>
      </c>
      <c r="E311" s="13" t="str">
        <f>Productos!G309</f>
        <v/>
      </c>
      <c r="F311" s="19"/>
      <c r="G311" s="13">
        <f t="shared" si="2"/>
        <v>0</v>
      </c>
      <c r="H311" s="13">
        <f t="shared" si="3"/>
        <v>0</v>
      </c>
      <c r="I311" s="13">
        <f t="shared" si="4"/>
        <v>0</v>
      </c>
      <c r="J311" s="12"/>
      <c r="K311" s="18" t="str">
        <f>IFERROR(VLOOKUP(A311,Proveedores!B309:H522,3,0), "")</f>
        <v/>
      </c>
    </row>
    <row r="312" ht="21.75" customHeight="1">
      <c r="A312" s="16" t="str">
        <f>Productos!B310</f>
        <v/>
      </c>
      <c r="B312" s="16" t="str">
        <f>Productos!C310</f>
        <v/>
      </c>
      <c r="C312" s="16" t="str">
        <f>Productos!E310</f>
        <v/>
      </c>
      <c r="D312" s="13" t="str">
        <f>Productos!F310</f>
        <v/>
      </c>
      <c r="E312" s="13" t="str">
        <f>Productos!G310</f>
        <v/>
      </c>
      <c r="F312" s="19"/>
      <c r="G312" s="13">
        <f t="shared" si="2"/>
        <v>0</v>
      </c>
      <c r="H312" s="13">
        <f t="shared" si="3"/>
        <v>0</v>
      </c>
      <c r="I312" s="13">
        <f t="shared" si="4"/>
        <v>0</v>
      </c>
      <c r="J312" s="12"/>
      <c r="K312" s="18" t="str">
        <f>IFERROR(VLOOKUP(A312,Proveedores!B310:H523,3,0), "")</f>
        <v/>
      </c>
    </row>
    <row r="313" ht="21.75" customHeight="1">
      <c r="A313" s="16" t="str">
        <f>Productos!B311</f>
        <v/>
      </c>
      <c r="B313" s="16" t="str">
        <f>Productos!C311</f>
        <v/>
      </c>
      <c r="C313" s="16" t="str">
        <f>Productos!E311</f>
        <v/>
      </c>
      <c r="D313" s="13" t="str">
        <f>Productos!F311</f>
        <v/>
      </c>
      <c r="E313" s="13" t="str">
        <f>Productos!G311</f>
        <v/>
      </c>
      <c r="F313" s="19"/>
      <c r="G313" s="13">
        <f t="shared" si="2"/>
        <v>0</v>
      </c>
      <c r="H313" s="13">
        <f t="shared" si="3"/>
        <v>0</v>
      </c>
      <c r="I313" s="13">
        <f t="shared" si="4"/>
        <v>0</v>
      </c>
      <c r="J313" s="12"/>
      <c r="K313" s="18" t="str">
        <f>IFERROR(VLOOKUP(A313,Proveedores!B311:H524,3,0), "")</f>
        <v/>
      </c>
    </row>
    <row r="314" ht="21.75" customHeight="1">
      <c r="A314" s="16" t="str">
        <f>Productos!B312</f>
        <v/>
      </c>
      <c r="B314" s="16" t="str">
        <f>Productos!C312</f>
        <v/>
      </c>
      <c r="C314" s="16" t="str">
        <f>Productos!E312</f>
        <v/>
      </c>
      <c r="D314" s="13" t="str">
        <f>Productos!F312</f>
        <v/>
      </c>
      <c r="E314" s="13" t="str">
        <f>Productos!G312</f>
        <v/>
      </c>
      <c r="F314" s="19"/>
      <c r="G314" s="13">
        <f t="shared" si="2"/>
        <v>0</v>
      </c>
      <c r="H314" s="13">
        <f t="shared" si="3"/>
        <v>0</v>
      </c>
      <c r="I314" s="13">
        <f t="shared" si="4"/>
        <v>0</v>
      </c>
      <c r="J314" s="12"/>
      <c r="K314" s="18" t="str">
        <f>IFERROR(VLOOKUP(A314,Proveedores!B312:H525,3,0), "")</f>
        <v/>
      </c>
    </row>
    <row r="315" ht="21.75" customHeight="1">
      <c r="A315" s="16" t="str">
        <f>Productos!B313</f>
        <v/>
      </c>
      <c r="B315" s="16" t="str">
        <f>Productos!C313</f>
        <v/>
      </c>
      <c r="C315" s="16" t="str">
        <f>Productos!E313</f>
        <v/>
      </c>
      <c r="D315" s="13" t="str">
        <f>Productos!F313</f>
        <v/>
      </c>
      <c r="E315" s="13" t="str">
        <f>Productos!G313</f>
        <v/>
      </c>
      <c r="F315" s="19"/>
      <c r="G315" s="13">
        <f t="shared" si="2"/>
        <v>0</v>
      </c>
      <c r="H315" s="13">
        <f t="shared" si="3"/>
        <v>0</v>
      </c>
      <c r="I315" s="13">
        <f t="shared" si="4"/>
        <v>0</v>
      </c>
      <c r="J315" s="12"/>
      <c r="K315" s="18" t="str">
        <f>IFERROR(VLOOKUP(A315,Proveedores!B313:H526,3,0), "")</f>
        <v/>
      </c>
    </row>
    <row r="316" ht="21.75" customHeight="1">
      <c r="A316" s="16" t="str">
        <f>Productos!B314</f>
        <v/>
      </c>
      <c r="B316" s="16" t="str">
        <f>Productos!C314</f>
        <v/>
      </c>
      <c r="C316" s="16" t="str">
        <f>Productos!E314</f>
        <v/>
      </c>
      <c r="D316" s="13" t="str">
        <f>Productos!F314</f>
        <v/>
      </c>
      <c r="E316" s="13" t="str">
        <f>Productos!G314</f>
        <v/>
      </c>
      <c r="F316" s="19"/>
      <c r="G316" s="13">
        <f t="shared" si="2"/>
        <v>0</v>
      </c>
      <c r="H316" s="13">
        <f t="shared" si="3"/>
        <v>0</v>
      </c>
      <c r="I316" s="13">
        <f t="shared" si="4"/>
        <v>0</v>
      </c>
      <c r="J316" s="12"/>
      <c r="K316" s="18" t="str">
        <f>IFERROR(VLOOKUP(A316,Proveedores!B314:H527,3,0), "")</f>
        <v/>
      </c>
    </row>
    <row r="317" ht="21.75" customHeight="1">
      <c r="A317" s="16" t="str">
        <f>Productos!B315</f>
        <v/>
      </c>
      <c r="B317" s="16" t="str">
        <f>Productos!C315</f>
        <v/>
      </c>
      <c r="C317" s="16" t="str">
        <f>Productos!E315</f>
        <v/>
      </c>
      <c r="D317" s="13" t="str">
        <f>Productos!F315</f>
        <v/>
      </c>
      <c r="E317" s="13" t="str">
        <f>Productos!G315</f>
        <v/>
      </c>
      <c r="F317" s="19"/>
      <c r="G317" s="13">
        <f t="shared" si="2"/>
        <v>0</v>
      </c>
      <c r="H317" s="13">
        <f t="shared" si="3"/>
        <v>0</v>
      </c>
      <c r="I317" s="13">
        <f t="shared" si="4"/>
        <v>0</v>
      </c>
      <c r="J317" s="12"/>
      <c r="K317" s="18" t="str">
        <f>IFERROR(VLOOKUP(A317,Proveedores!B315:H528,3,0), "")</f>
        <v/>
      </c>
    </row>
    <row r="318" ht="21.75" customHeight="1">
      <c r="A318" s="16" t="str">
        <f>Productos!B316</f>
        <v/>
      </c>
      <c r="B318" s="16" t="str">
        <f>Productos!C316</f>
        <v/>
      </c>
      <c r="C318" s="16" t="str">
        <f>Productos!E316</f>
        <v/>
      </c>
      <c r="D318" s="13" t="str">
        <f>Productos!F316</f>
        <v/>
      </c>
      <c r="E318" s="13" t="str">
        <f>Productos!G316</f>
        <v/>
      </c>
      <c r="F318" s="19"/>
      <c r="G318" s="13">
        <f t="shared" si="2"/>
        <v>0</v>
      </c>
      <c r="H318" s="13">
        <f t="shared" si="3"/>
        <v>0</v>
      </c>
      <c r="I318" s="13">
        <f t="shared" si="4"/>
        <v>0</v>
      </c>
      <c r="J318" s="12"/>
      <c r="K318" s="18" t="str">
        <f>IFERROR(VLOOKUP(A318,Proveedores!B316:H529,3,0), "")</f>
        <v/>
      </c>
    </row>
    <row r="319" ht="21.75" customHeight="1">
      <c r="A319" s="16" t="str">
        <f>Productos!B317</f>
        <v/>
      </c>
      <c r="B319" s="16" t="str">
        <f>Productos!C317</f>
        <v/>
      </c>
      <c r="C319" s="16" t="str">
        <f>Productos!E317</f>
        <v/>
      </c>
      <c r="D319" s="13" t="str">
        <f>Productos!F317</f>
        <v/>
      </c>
      <c r="E319" s="13" t="str">
        <f>Productos!G317</f>
        <v/>
      </c>
      <c r="F319" s="19"/>
      <c r="G319" s="13">
        <f t="shared" si="2"/>
        <v>0</v>
      </c>
      <c r="H319" s="13">
        <f t="shared" si="3"/>
        <v>0</v>
      </c>
      <c r="I319" s="13">
        <f t="shared" si="4"/>
        <v>0</v>
      </c>
      <c r="J319" s="12"/>
      <c r="K319" s="18" t="str">
        <f>IFERROR(VLOOKUP(A319,Proveedores!B317:H530,3,0), "")</f>
        <v/>
      </c>
    </row>
    <row r="320" ht="21.75" customHeight="1">
      <c r="A320" s="16" t="str">
        <f>Productos!B318</f>
        <v/>
      </c>
      <c r="B320" s="16" t="str">
        <f>Productos!C318</f>
        <v/>
      </c>
      <c r="C320" s="16" t="str">
        <f>Productos!E318</f>
        <v/>
      </c>
      <c r="D320" s="13" t="str">
        <f>Productos!F318</f>
        <v/>
      </c>
      <c r="E320" s="13" t="str">
        <f>Productos!G318</f>
        <v/>
      </c>
      <c r="F320" s="19"/>
      <c r="G320" s="13">
        <f t="shared" si="2"/>
        <v>0</v>
      </c>
      <c r="H320" s="13">
        <f t="shared" si="3"/>
        <v>0</v>
      </c>
      <c r="I320" s="13">
        <f t="shared" si="4"/>
        <v>0</v>
      </c>
      <c r="J320" s="12"/>
      <c r="K320" s="18" t="str">
        <f>IFERROR(VLOOKUP(A320,Proveedores!B318:H531,3,0), "")</f>
        <v/>
      </c>
    </row>
    <row r="321" ht="21.75" customHeight="1">
      <c r="A321" s="16" t="str">
        <f>Productos!B319</f>
        <v/>
      </c>
      <c r="B321" s="16" t="str">
        <f>Productos!C319</f>
        <v/>
      </c>
      <c r="C321" s="16" t="str">
        <f>Productos!E319</f>
        <v/>
      </c>
      <c r="D321" s="13" t="str">
        <f>Productos!F319</f>
        <v/>
      </c>
      <c r="E321" s="13" t="str">
        <f>Productos!G319</f>
        <v/>
      </c>
      <c r="F321" s="19"/>
      <c r="G321" s="13">
        <f t="shared" si="2"/>
        <v>0</v>
      </c>
      <c r="H321" s="13">
        <f t="shared" si="3"/>
        <v>0</v>
      </c>
      <c r="I321" s="13">
        <f t="shared" si="4"/>
        <v>0</v>
      </c>
      <c r="J321" s="12"/>
      <c r="K321" s="18" t="str">
        <f>IFERROR(VLOOKUP(A321,Proveedores!B319:H532,3,0), "")</f>
        <v/>
      </c>
    </row>
    <row r="322" ht="21.75" customHeight="1">
      <c r="A322" s="16" t="str">
        <f>Productos!B320</f>
        <v/>
      </c>
      <c r="B322" s="16" t="str">
        <f>Productos!C320</f>
        <v/>
      </c>
      <c r="C322" s="16" t="str">
        <f>Productos!E320</f>
        <v/>
      </c>
      <c r="D322" s="13" t="str">
        <f>Productos!F320</f>
        <v/>
      </c>
      <c r="E322" s="13" t="str">
        <f>Productos!G320</f>
        <v/>
      </c>
      <c r="F322" s="19"/>
      <c r="G322" s="13">
        <f t="shared" si="2"/>
        <v>0</v>
      </c>
      <c r="H322" s="13">
        <f t="shared" si="3"/>
        <v>0</v>
      </c>
      <c r="I322" s="13">
        <f t="shared" si="4"/>
        <v>0</v>
      </c>
      <c r="J322" s="12"/>
      <c r="K322" s="18" t="str">
        <f>IFERROR(VLOOKUP(A322,Proveedores!B320:H533,3,0), "")</f>
        <v/>
      </c>
    </row>
    <row r="323" ht="21.75" customHeight="1">
      <c r="A323" s="16" t="str">
        <f>Productos!B321</f>
        <v/>
      </c>
      <c r="B323" s="16" t="str">
        <f>Productos!C321</f>
        <v/>
      </c>
      <c r="C323" s="16" t="str">
        <f>Productos!E321</f>
        <v/>
      </c>
      <c r="D323" s="13" t="str">
        <f>Productos!F321</f>
        <v/>
      </c>
      <c r="E323" s="13" t="str">
        <f>Productos!G321</f>
        <v/>
      </c>
      <c r="F323" s="19"/>
      <c r="G323" s="13">
        <f t="shared" si="2"/>
        <v>0</v>
      </c>
      <c r="H323" s="13">
        <f t="shared" si="3"/>
        <v>0</v>
      </c>
      <c r="I323" s="13">
        <f t="shared" si="4"/>
        <v>0</v>
      </c>
      <c r="J323" s="12"/>
      <c r="K323" s="18" t="str">
        <f>IFERROR(VLOOKUP(A323,Proveedores!B321:H534,3,0), "")</f>
        <v/>
      </c>
    </row>
    <row r="324" ht="21.75" customHeight="1">
      <c r="A324" s="16" t="str">
        <f>Productos!B322</f>
        <v/>
      </c>
      <c r="B324" s="16" t="str">
        <f>Productos!C322</f>
        <v/>
      </c>
      <c r="C324" s="16" t="str">
        <f>Productos!E322</f>
        <v/>
      </c>
      <c r="D324" s="13" t="str">
        <f>Productos!F322</f>
        <v/>
      </c>
      <c r="E324" s="13" t="str">
        <f>Productos!G322</f>
        <v/>
      </c>
      <c r="F324" s="19"/>
      <c r="G324" s="13">
        <f t="shared" si="2"/>
        <v>0</v>
      </c>
      <c r="H324" s="13">
        <f t="shared" si="3"/>
        <v>0</v>
      </c>
      <c r="I324" s="13">
        <f t="shared" si="4"/>
        <v>0</v>
      </c>
      <c r="J324" s="12"/>
      <c r="K324" s="18" t="str">
        <f>IFERROR(VLOOKUP(A324,Proveedores!B322:H535,3,0), "")</f>
        <v/>
      </c>
    </row>
    <row r="325" ht="21.75" customHeight="1">
      <c r="A325" s="16" t="str">
        <f>Productos!B323</f>
        <v/>
      </c>
      <c r="B325" s="16" t="str">
        <f>Productos!C323</f>
        <v/>
      </c>
      <c r="C325" s="16" t="str">
        <f>Productos!E323</f>
        <v/>
      </c>
      <c r="D325" s="13" t="str">
        <f>Productos!F323</f>
        <v/>
      </c>
      <c r="E325" s="13" t="str">
        <f>Productos!G323</f>
        <v/>
      </c>
      <c r="F325" s="19"/>
      <c r="G325" s="13">
        <f t="shared" si="2"/>
        <v>0</v>
      </c>
      <c r="H325" s="13">
        <f t="shared" si="3"/>
        <v>0</v>
      </c>
      <c r="I325" s="13">
        <f t="shared" si="4"/>
        <v>0</v>
      </c>
      <c r="J325" s="12"/>
      <c r="K325" s="18" t="str">
        <f>IFERROR(VLOOKUP(A325,Proveedores!B323:H536,3,0), "")</f>
        <v/>
      </c>
    </row>
    <row r="326" ht="21.75" customHeight="1">
      <c r="A326" s="16" t="str">
        <f>Productos!B324</f>
        <v/>
      </c>
      <c r="B326" s="16" t="str">
        <f>Productos!C324</f>
        <v/>
      </c>
      <c r="C326" s="16" t="str">
        <f>Productos!E324</f>
        <v/>
      </c>
      <c r="D326" s="13" t="str">
        <f>Productos!F324</f>
        <v/>
      </c>
      <c r="E326" s="13" t="str">
        <f>Productos!G324</f>
        <v/>
      </c>
      <c r="F326" s="19"/>
      <c r="G326" s="13">
        <f t="shared" si="2"/>
        <v>0</v>
      </c>
      <c r="H326" s="13">
        <f t="shared" si="3"/>
        <v>0</v>
      </c>
      <c r="I326" s="13">
        <f t="shared" si="4"/>
        <v>0</v>
      </c>
      <c r="J326" s="12"/>
      <c r="K326" s="18" t="str">
        <f>IFERROR(VLOOKUP(A326,Proveedores!B324:H537,3,0), "")</f>
        <v/>
      </c>
    </row>
    <row r="327" ht="21.75" customHeight="1">
      <c r="A327" s="16" t="str">
        <f>Productos!B325</f>
        <v/>
      </c>
      <c r="B327" s="16" t="str">
        <f>Productos!C325</f>
        <v/>
      </c>
      <c r="C327" s="16" t="str">
        <f>Productos!E325</f>
        <v/>
      </c>
      <c r="D327" s="13" t="str">
        <f>Productos!F325</f>
        <v/>
      </c>
      <c r="E327" s="13" t="str">
        <f>Productos!G325</f>
        <v/>
      </c>
      <c r="F327" s="19"/>
      <c r="G327" s="13">
        <f t="shared" si="2"/>
        <v>0</v>
      </c>
      <c r="H327" s="13">
        <f t="shared" si="3"/>
        <v>0</v>
      </c>
      <c r="I327" s="13">
        <f t="shared" si="4"/>
        <v>0</v>
      </c>
      <c r="J327" s="12"/>
      <c r="K327" s="18" t="str">
        <f>IFERROR(VLOOKUP(A327,Proveedores!B325:H538,3,0), "")</f>
        <v/>
      </c>
    </row>
    <row r="328" ht="21.75" customHeight="1">
      <c r="A328" s="16" t="str">
        <f>Productos!B326</f>
        <v/>
      </c>
      <c r="B328" s="16" t="str">
        <f>Productos!C326</f>
        <v/>
      </c>
      <c r="C328" s="16" t="str">
        <f>Productos!E326</f>
        <v/>
      </c>
      <c r="D328" s="13" t="str">
        <f>Productos!F326</f>
        <v/>
      </c>
      <c r="E328" s="13" t="str">
        <f>Productos!G326</f>
        <v/>
      </c>
      <c r="F328" s="19"/>
      <c r="G328" s="13">
        <f t="shared" si="2"/>
        <v>0</v>
      </c>
      <c r="H328" s="13">
        <f t="shared" si="3"/>
        <v>0</v>
      </c>
      <c r="I328" s="13">
        <f t="shared" si="4"/>
        <v>0</v>
      </c>
      <c r="J328" s="12"/>
      <c r="K328" s="18" t="str">
        <f>IFERROR(VLOOKUP(A328,Proveedores!B326:H539,3,0), "")</f>
        <v/>
      </c>
    </row>
    <row r="329" ht="21.75" customHeight="1">
      <c r="A329" s="16" t="str">
        <f>Productos!B327</f>
        <v/>
      </c>
      <c r="B329" s="16" t="str">
        <f>Productos!C327</f>
        <v/>
      </c>
      <c r="C329" s="16" t="str">
        <f>Productos!E327</f>
        <v/>
      </c>
      <c r="D329" s="13" t="str">
        <f>Productos!F327</f>
        <v/>
      </c>
      <c r="E329" s="13" t="str">
        <f>Productos!G327</f>
        <v/>
      </c>
      <c r="F329" s="19"/>
      <c r="G329" s="13">
        <f t="shared" si="2"/>
        <v>0</v>
      </c>
      <c r="H329" s="13">
        <f t="shared" si="3"/>
        <v>0</v>
      </c>
      <c r="I329" s="13">
        <f t="shared" si="4"/>
        <v>0</v>
      </c>
      <c r="J329" s="12"/>
      <c r="K329" s="18" t="str">
        <f>IFERROR(VLOOKUP(A329,Proveedores!B327:H540,3,0), "")</f>
        <v/>
      </c>
    </row>
    <row r="330" ht="21.75" customHeight="1">
      <c r="A330" s="16" t="str">
        <f>Productos!B328</f>
        <v/>
      </c>
      <c r="B330" s="16" t="str">
        <f>Productos!C328</f>
        <v/>
      </c>
      <c r="C330" s="16" t="str">
        <f>Productos!E328</f>
        <v/>
      </c>
      <c r="D330" s="13" t="str">
        <f>Productos!F328</f>
        <v/>
      </c>
      <c r="E330" s="13" t="str">
        <f>Productos!G328</f>
        <v/>
      </c>
      <c r="F330" s="19"/>
      <c r="G330" s="13">
        <f t="shared" si="2"/>
        <v>0</v>
      </c>
      <c r="H330" s="13">
        <f t="shared" si="3"/>
        <v>0</v>
      </c>
      <c r="I330" s="13">
        <f t="shared" si="4"/>
        <v>0</v>
      </c>
      <c r="J330" s="12"/>
      <c r="K330" s="18" t="str">
        <f>IFERROR(VLOOKUP(A330,Proveedores!B328:H541,3,0), "")</f>
        <v/>
      </c>
    </row>
    <row r="331" ht="21.75" customHeight="1">
      <c r="A331" s="16" t="str">
        <f>Productos!B329</f>
        <v/>
      </c>
      <c r="B331" s="16" t="str">
        <f>Productos!C329</f>
        <v/>
      </c>
      <c r="C331" s="16" t="str">
        <f>Productos!E329</f>
        <v/>
      </c>
      <c r="D331" s="13" t="str">
        <f>Productos!F329</f>
        <v/>
      </c>
      <c r="E331" s="13" t="str">
        <f>Productos!G329</f>
        <v/>
      </c>
      <c r="F331" s="19"/>
      <c r="G331" s="13">
        <f t="shared" si="2"/>
        <v>0</v>
      </c>
      <c r="H331" s="13">
        <f t="shared" si="3"/>
        <v>0</v>
      </c>
      <c r="I331" s="13">
        <f t="shared" si="4"/>
        <v>0</v>
      </c>
      <c r="J331" s="12"/>
      <c r="K331" s="18" t="str">
        <f>IFERROR(VLOOKUP(A331,Proveedores!B329:H542,3,0), "")</f>
        <v/>
      </c>
    </row>
    <row r="332" ht="21.75" customHeight="1">
      <c r="A332" s="16" t="str">
        <f>Productos!B330</f>
        <v/>
      </c>
      <c r="B332" s="16" t="str">
        <f>Productos!C330</f>
        <v/>
      </c>
      <c r="C332" s="16" t="str">
        <f>Productos!E330</f>
        <v/>
      </c>
      <c r="D332" s="13" t="str">
        <f>Productos!F330</f>
        <v/>
      </c>
      <c r="E332" s="13" t="str">
        <f>Productos!G330</f>
        <v/>
      </c>
      <c r="F332" s="19"/>
      <c r="G332" s="13">
        <f t="shared" si="2"/>
        <v>0</v>
      </c>
      <c r="H332" s="13">
        <f t="shared" si="3"/>
        <v>0</v>
      </c>
      <c r="I332" s="13">
        <f t="shared" si="4"/>
        <v>0</v>
      </c>
      <c r="J332" s="12"/>
      <c r="K332" s="18" t="str">
        <f>IFERROR(VLOOKUP(A332,Proveedores!B330:H543,3,0), "")</f>
        <v/>
      </c>
    </row>
    <row r="333" ht="21.75" customHeight="1">
      <c r="A333" s="16" t="str">
        <f>Productos!B331</f>
        <v/>
      </c>
      <c r="B333" s="16" t="str">
        <f>Productos!C331</f>
        <v/>
      </c>
      <c r="C333" s="16" t="str">
        <f>Productos!E331</f>
        <v/>
      </c>
      <c r="D333" s="13" t="str">
        <f>Productos!F331</f>
        <v/>
      </c>
      <c r="E333" s="13" t="str">
        <f>Productos!G331</f>
        <v/>
      </c>
      <c r="F333" s="19"/>
      <c r="G333" s="13">
        <f t="shared" si="2"/>
        <v>0</v>
      </c>
      <c r="H333" s="13">
        <f t="shared" si="3"/>
        <v>0</v>
      </c>
      <c r="I333" s="13">
        <f t="shared" si="4"/>
        <v>0</v>
      </c>
      <c r="J333" s="12"/>
      <c r="K333" s="18" t="str">
        <f>IFERROR(VLOOKUP(A333,Proveedores!B331:H544,3,0), "")</f>
        <v/>
      </c>
    </row>
    <row r="334" ht="21.75" customHeight="1">
      <c r="A334" s="16" t="str">
        <f>Productos!B332</f>
        <v/>
      </c>
      <c r="B334" s="16" t="str">
        <f>Productos!C332</f>
        <v/>
      </c>
      <c r="C334" s="16" t="str">
        <f>Productos!E332</f>
        <v/>
      </c>
      <c r="D334" s="13" t="str">
        <f>Productos!F332</f>
        <v/>
      </c>
      <c r="E334" s="13" t="str">
        <f>Productos!G332</f>
        <v/>
      </c>
      <c r="F334" s="19"/>
      <c r="G334" s="13">
        <f t="shared" si="2"/>
        <v>0</v>
      </c>
      <c r="H334" s="13">
        <f t="shared" si="3"/>
        <v>0</v>
      </c>
      <c r="I334" s="13">
        <f t="shared" si="4"/>
        <v>0</v>
      </c>
      <c r="J334" s="12"/>
      <c r="K334" s="18" t="str">
        <f>IFERROR(VLOOKUP(A334,Proveedores!B332:H545,3,0), "")</f>
        <v/>
      </c>
    </row>
    <row r="335" ht="21.75" customHeight="1">
      <c r="A335" s="16" t="str">
        <f>Productos!B333</f>
        <v/>
      </c>
      <c r="B335" s="16" t="str">
        <f>Productos!C333</f>
        <v/>
      </c>
      <c r="C335" s="16" t="str">
        <f>Productos!E333</f>
        <v/>
      </c>
      <c r="D335" s="13" t="str">
        <f>Productos!F333</f>
        <v/>
      </c>
      <c r="E335" s="13" t="str">
        <f>Productos!G333</f>
        <v/>
      </c>
      <c r="F335" s="19"/>
      <c r="G335" s="13">
        <f t="shared" si="2"/>
        <v>0</v>
      </c>
      <c r="H335" s="13">
        <f t="shared" si="3"/>
        <v>0</v>
      </c>
      <c r="I335" s="13">
        <f t="shared" si="4"/>
        <v>0</v>
      </c>
      <c r="J335" s="12"/>
      <c r="K335" s="18" t="str">
        <f>IFERROR(VLOOKUP(A335,Proveedores!B333:H546,3,0), "")</f>
        <v/>
      </c>
    </row>
    <row r="336" ht="21.75" customHeight="1">
      <c r="A336" s="16" t="str">
        <f>Productos!B334</f>
        <v/>
      </c>
      <c r="B336" s="16" t="str">
        <f>Productos!C334</f>
        <v/>
      </c>
      <c r="C336" s="16" t="str">
        <f>Productos!E334</f>
        <v/>
      </c>
      <c r="D336" s="13" t="str">
        <f>Productos!F334</f>
        <v/>
      </c>
      <c r="E336" s="13" t="str">
        <f>Productos!G334</f>
        <v/>
      </c>
      <c r="F336" s="19"/>
      <c r="G336" s="13">
        <f t="shared" si="2"/>
        <v>0</v>
      </c>
      <c r="H336" s="13">
        <f t="shared" si="3"/>
        <v>0</v>
      </c>
      <c r="I336" s="13">
        <f t="shared" si="4"/>
        <v>0</v>
      </c>
      <c r="J336" s="12"/>
      <c r="K336" s="18" t="str">
        <f>IFERROR(VLOOKUP(A336,Proveedores!B334:H547,3,0), "")</f>
        <v/>
      </c>
    </row>
    <row r="337" ht="21.75" customHeight="1">
      <c r="A337" s="16" t="str">
        <f>Productos!B335</f>
        <v/>
      </c>
      <c r="B337" s="16" t="str">
        <f>Productos!C335</f>
        <v/>
      </c>
      <c r="C337" s="16" t="str">
        <f>Productos!E335</f>
        <v/>
      </c>
      <c r="D337" s="13" t="str">
        <f>Productos!F335</f>
        <v/>
      </c>
      <c r="E337" s="13" t="str">
        <f>Productos!G335</f>
        <v/>
      </c>
      <c r="F337" s="19"/>
      <c r="G337" s="13">
        <f t="shared" si="2"/>
        <v>0</v>
      </c>
      <c r="H337" s="13">
        <f t="shared" si="3"/>
        <v>0</v>
      </c>
      <c r="I337" s="13">
        <f t="shared" si="4"/>
        <v>0</v>
      </c>
      <c r="J337" s="12"/>
      <c r="K337" s="18" t="str">
        <f>IFERROR(VLOOKUP(A337,Proveedores!B335:H548,3,0), "")</f>
        <v/>
      </c>
    </row>
    <row r="338" ht="21.75" customHeight="1">
      <c r="A338" s="16" t="str">
        <f>Productos!B336</f>
        <v/>
      </c>
      <c r="B338" s="16" t="str">
        <f>Productos!C336</f>
        <v/>
      </c>
      <c r="C338" s="16" t="str">
        <f>Productos!E336</f>
        <v/>
      </c>
      <c r="D338" s="13" t="str">
        <f>Productos!F336</f>
        <v/>
      </c>
      <c r="E338" s="13" t="str">
        <f>Productos!G336</f>
        <v/>
      </c>
      <c r="F338" s="19"/>
      <c r="G338" s="13">
        <f t="shared" si="2"/>
        <v>0</v>
      </c>
      <c r="H338" s="13">
        <f t="shared" si="3"/>
        <v>0</v>
      </c>
      <c r="I338" s="13">
        <f t="shared" si="4"/>
        <v>0</v>
      </c>
      <c r="J338" s="12"/>
      <c r="K338" s="18" t="str">
        <f>IFERROR(VLOOKUP(A338,Proveedores!B336:H549,3,0), "")</f>
        <v/>
      </c>
    </row>
    <row r="339" ht="21.75" customHeight="1">
      <c r="A339" s="16" t="str">
        <f>Productos!B337</f>
        <v/>
      </c>
      <c r="B339" s="16" t="str">
        <f>Productos!C337</f>
        <v/>
      </c>
      <c r="C339" s="16" t="str">
        <f>Productos!E337</f>
        <v/>
      </c>
      <c r="D339" s="13" t="str">
        <f>Productos!F337</f>
        <v/>
      </c>
      <c r="E339" s="13" t="str">
        <f>Productos!G337</f>
        <v/>
      </c>
      <c r="F339" s="19"/>
      <c r="G339" s="13">
        <f t="shared" si="2"/>
        <v>0</v>
      </c>
      <c r="H339" s="13">
        <f t="shared" si="3"/>
        <v>0</v>
      </c>
      <c r="I339" s="13">
        <f t="shared" si="4"/>
        <v>0</v>
      </c>
      <c r="J339" s="12"/>
      <c r="K339" s="18" t="str">
        <f>IFERROR(VLOOKUP(A339,Proveedores!B337:H550,3,0), "")</f>
        <v/>
      </c>
    </row>
    <row r="340" ht="21.75" customHeight="1">
      <c r="A340" s="16" t="str">
        <f>Productos!B338</f>
        <v/>
      </c>
      <c r="B340" s="16" t="str">
        <f>Productos!C338</f>
        <v/>
      </c>
      <c r="C340" s="16" t="str">
        <f>Productos!E338</f>
        <v/>
      </c>
      <c r="D340" s="13" t="str">
        <f>Productos!F338</f>
        <v/>
      </c>
      <c r="E340" s="13" t="str">
        <f>Productos!G338</f>
        <v/>
      </c>
      <c r="F340" s="19"/>
      <c r="G340" s="13">
        <f t="shared" si="2"/>
        <v>0</v>
      </c>
      <c r="H340" s="13">
        <f t="shared" si="3"/>
        <v>0</v>
      </c>
      <c r="I340" s="13">
        <f t="shared" si="4"/>
        <v>0</v>
      </c>
      <c r="J340" s="12"/>
      <c r="K340" s="18" t="str">
        <f>IFERROR(VLOOKUP(A340,Proveedores!B338:H551,3,0), "")</f>
        <v/>
      </c>
    </row>
    <row r="341" ht="21.75" customHeight="1">
      <c r="A341" s="16" t="str">
        <f>Productos!B339</f>
        <v/>
      </c>
      <c r="B341" s="16" t="str">
        <f>Productos!C339</f>
        <v/>
      </c>
      <c r="C341" s="16" t="str">
        <f>Productos!E339</f>
        <v/>
      </c>
      <c r="D341" s="13" t="str">
        <f>Productos!F339</f>
        <v/>
      </c>
      <c r="E341" s="13" t="str">
        <f>Productos!G339</f>
        <v/>
      </c>
      <c r="F341" s="19"/>
      <c r="G341" s="13">
        <f t="shared" si="2"/>
        <v>0</v>
      </c>
      <c r="H341" s="13">
        <f t="shared" si="3"/>
        <v>0</v>
      </c>
      <c r="I341" s="13">
        <f t="shared" si="4"/>
        <v>0</v>
      </c>
      <c r="J341" s="12"/>
      <c r="K341" s="18" t="str">
        <f>IFERROR(VLOOKUP(A341,Proveedores!B339:H552,3,0), "")</f>
        <v/>
      </c>
    </row>
    <row r="342" ht="21.75" customHeight="1">
      <c r="A342" s="16" t="str">
        <f>Productos!B340</f>
        <v/>
      </c>
      <c r="B342" s="16" t="str">
        <f>Productos!C340</f>
        <v/>
      </c>
      <c r="C342" s="16" t="str">
        <f>Productos!E340</f>
        <v/>
      </c>
      <c r="D342" s="13" t="str">
        <f>Productos!F340</f>
        <v/>
      </c>
      <c r="E342" s="13" t="str">
        <f>Productos!G340</f>
        <v/>
      </c>
      <c r="F342" s="19"/>
      <c r="G342" s="13">
        <f t="shared" si="2"/>
        <v>0</v>
      </c>
      <c r="H342" s="13">
        <f t="shared" si="3"/>
        <v>0</v>
      </c>
      <c r="I342" s="13">
        <f t="shared" si="4"/>
        <v>0</v>
      </c>
      <c r="J342" s="12"/>
      <c r="K342" s="18" t="str">
        <f>IFERROR(VLOOKUP(A342,Proveedores!B340:H553,3,0), "")</f>
        <v/>
      </c>
    </row>
    <row r="343" ht="21.75" customHeight="1">
      <c r="A343" s="16" t="str">
        <f>Productos!B341</f>
        <v/>
      </c>
      <c r="B343" s="16" t="str">
        <f>Productos!C341</f>
        <v/>
      </c>
      <c r="C343" s="16" t="str">
        <f>Productos!E341</f>
        <v/>
      </c>
      <c r="D343" s="13" t="str">
        <f>Productos!F341</f>
        <v/>
      </c>
      <c r="E343" s="13" t="str">
        <f>Productos!G341</f>
        <v/>
      </c>
      <c r="F343" s="19"/>
      <c r="G343" s="13">
        <f t="shared" si="2"/>
        <v>0</v>
      </c>
      <c r="H343" s="13">
        <f t="shared" si="3"/>
        <v>0</v>
      </c>
      <c r="I343" s="13">
        <f t="shared" si="4"/>
        <v>0</v>
      </c>
      <c r="J343" s="12"/>
      <c r="K343" s="18" t="str">
        <f>IFERROR(VLOOKUP(A343,Proveedores!B341:H554,3,0), "")</f>
        <v/>
      </c>
    </row>
    <row r="344" ht="21.75" customHeight="1">
      <c r="A344" s="16" t="str">
        <f>Productos!B342</f>
        <v/>
      </c>
      <c r="B344" s="16" t="str">
        <f>Productos!C342</f>
        <v/>
      </c>
      <c r="C344" s="16" t="str">
        <f>Productos!E342</f>
        <v/>
      </c>
      <c r="D344" s="13" t="str">
        <f>Productos!F342</f>
        <v/>
      </c>
      <c r="E344" s="13" t="str">
        <f>Productos!G342</f>
        <v/>
      </c>
      <c r="F344" s="19"/>
      <c r="G344" s="13">
        <f t="shared" si="2"/>
        <v>0</v>
      </c>
      <c r="H344" s="13">
        <f t="shared" si="3"/>
        <v>0</v>
      </c>
      <c r="I344" s="13">
        <f t="shared" si="4"/>
        <v>0</v>
      </c>
      <c r="J344" s="12"/>
      <c r="K344" s="18" t="str">
        <f>IFERROR(VLOOKUP(A344,Proveedores!B342:H555,3,0), "")</f>
        <v/>
      </c>
    </row>
    <row r="345" ht="21.75" customHeight="1">
      <c r="A345" s="16" t="str">
        <f>Productos!B343</f>
        <v/>
      </c>
      <c r="B345" s="16" t="str">
        <f>Productos!C343</f>
        <v/>
      </c>
      <c r="C345" s="16" t="str">
        <f>Productos!E343</f>
        <v/>
      </c>
      <c r="D345" s="13" t="str">
        <f>Productos!F343</f>
        <v/>
      </c>
      <c r="E345" s="13" t="str">
        <f>Productos!G343</f>
        <v/>
      </c>
      <c r="F345" s="19"/>
      <c r="G345" s="13">
        <f t="shared" si="2"/>
        <v>0</v>
      </c>
      <c r="H345" s="13">
        <f t="shared" si="3"/>
        <v>0</v>
      </c>
      <c r="I345" s="13">
        <f t="shared" si="4"/>
        <v>0</v>
      </c>
      <c r="J345" s="12"/>
      <c r="K345" s="18" t="str">
        <f>IFERROR(VLOOKUP(A345,Proveedores!B343:H556,3,0), "")</f>
        <v/>
      </c>
    </row>
    <row r="346" ht="21.75" customHeight="1">
      <c r="A346" s="16" t="str">
        <f>Productos!B344</f>
        <v/>
      </c>
      <c r="B346" s="16" t="str">
        <f>Productos!C344</f>
        <v/>
      </c>
      <c r="C346" s="16" t="str">
        <f>Productos!E344</f>
        <v/>
      </c>
      <c r="D346" s="13" t="str">
        <f>Productos!F344</f>
        <v/>
      </c>
      <c r="E346" s="13" t="str">
        <f>Productos!G344</f>
        <v/>
      </c>
      <c r="F346" s="19"/>
      <c r="G346" s="13">
        <f t="shared" si="2"/>
        <v>0</v>
      </c>
      <c r="H346" s="13">
        <f t="shared" si="3"/>
        <v>0</v>
      </c>
      <c r="I346" s="13">
        <f t="shared" si="4"/>
        <v>0</v>
      </c>
      <c r="J346" s="12"/>
      <c r="K346" s="18" t="str">
        <f>IFERROR(VLOOKUP(A346,Proveedores!B344:H557,3,0), "")</f>
        <v/>
      </c>
    </row>
    <row r="347" ht="21.75" customHeight="1">
      <c r="A347" s="16" t="str">
        <f>Productos!B345</f>
        <v/>
      </c>
      <c r="B347" s="16" t="str">
        <f>Productos!C345</f>
        <v/>
      </c>
      <c r="C347" s="16" t="str">
        <f>Productos!E345</f>
        <v/>
      </c>
      <c r="D347" s="13" t="str">
        <f>Productos!F345</f>
        <v/>
      </c>
      <c r="E347" s="13" t="str">
        <f>Productos!G345</f>
        <v/>
      </c>
      <c r="F347" s="19"/>
      <c r="G347" s="13">
        <f t="shared" si="2"/>
        <v>0</v>
      </c>
      <c r="H347" s="13">
        <f t="shared" si="3"/>
        <v>0</v>
      </c>
      <c r="I347" s="13">
        <f t="shared" si="4"/>
        <v>0</v>
      </c>
      <c r="J347" s="12"/>
      <c r="K347" s="18" t="str">
        <f>IFERROR(VLOOKUP(A347,Proveedores!B345:H558,3,0), "")</f>
        <v/>
      </c>
    </row>
    <row r="348" ht="21.75" customHeight="1">
      <c r="A348" s="16" t="str">
        <f>Productos!B346</f>
        <v/>
      </c>
      <c r="B348" s="16" t="str">
        <f>Productos!C346</f>
        <v/>
      </c>
      <c r="C348" s="16" t="str">
        <f>Productos!E346</f>
        <v/>
      </c>
      <c r="D348" s="13" t="str">
        <f>Productos!F346</f>
        <v/>
      </c>
      <c r="E348" s="13" t="str">
        <f>Productos!G346</f>
        <v/>
      </c>
      <c r="F348" s="19"/>
      <c r="G348" s="13">
        <f t="shared" si="2"/>
        <v>0</v>
      </c>
      <c r="H348" s="13">
        <f t="shared" si="3"/>
        <v>0</v>
      </c>
      <c r="I348" s="13">
        <f t="shared" si="4"/>
        <v>0</v>
      </c>
      <c r="J348" s="12"/>
      <c r="K348" s="18" t="str">
        <f>IFERROR(VLOOKUP(A348,Proveedores!B346:H559,3,0), "")</f>
        <v/>
      </c>
    </row>
    <row r="349" ht="21.75" customHeight="1">
      <c r="A349" s="16" t="str">
        <f>Productos!B347</f>
        <v/>
      </c>
      <c r="B349" s="16" t="str">
        <f>Productos!C347</f>
        <v/>
      </c>
      <c r="C349" s="16" t="str">
        <f>Productos!E347</f>
        <v/>
      </c>
      <c r="D349" s="13" t="str">
        <f>Productos!F347</f>
        <v/>
      </c>
      <c r="E349" s="13" t="str">
        <f>Productos!G347</f>
        <v/>
      </c>
      <c r="F349" s="19"/>
      <c r="G349" s="13">
        <f t="shared" si="2"/>
        <v>0</v>
      </c>
      <c r="H349" s="13">
        <f t="shared" si="3"/>
        <v>0</v>
      </c>
      <c r="I349" s="13">
        <f t="shared" si="4"/>
        <v>0</v>
      </c>
      <c r="J349" s="12"/>
      <c r="K349" s="18" t="str">
        <f>IFERROR(VLOOKUP(A349,Proveedores!B347:H560,3,0), "")</f>
        <v/>
      </c>
    </row>
    <row r="350" ht="21.75" customHeight="1">
      <c r="A350" s="16" t="str">
        <f>Productos!B348</f>
        <v/>
      </c>
      <c r="B350" s="16" t="str">
        <f>Productos!C348</f>
        <v/>
      </c>
      <c r="C350" s="16" t="str">
        <f>Productos!E348</f>
        <v/>
      </c>
      <c r="D350" s="13" t="str">
        <f>Productos!F348</f>
        <v/>
      </c>
      <c r="E350" s="13" t="str">
        <f>Productos!G348</f>
        <v/>
      </c>
      <c r="F350" s="19"/>
      <c r="G350" s="13">
        <f t="shared" si="2"/>
        <v>0</v>
      </c>
      <c r="H350" s="13">
        <f t="shared" si="3"/>
        <v>0</v>
      </c>
      <c r="I350" s="13">
        <f t="shared" si="4"/>
        <v>0</v>
      </c>
      <c r="J350" s="12"/>
      <c r="K350" s="18" t="str">
        <f>IFERROR(VLOOKUP(A350,Proveedores!B348:H561,3,0), "")</f>
        <v/>
      </c>
    </row>
    <row r="351" ht="21.75" customHeight="1">
      <c r="A351" s="16" t="str">
        <f>Productos!B349</f>
        <v/>
      </c>
      <c r="B351" s="16" t="str">
        <f>Productos!C349</f>
        <v/>
      </c>
      <c r="C351" s="16" t="str">
        <f>Productos!E349</f>
        <v/>
      </c>
      <c r="D351" s="13" t="str">
        <f>Productos!F349</f>
        <v/>
      </c>
      <c r="E351" s="13" t="str">
        <f>Productos!G349</f>
        <v/>
      </c>
      <c r="F351" s="19"/>
      <c r="G351" s="13">
        <f t="shared" si="2"/>
        <v>0</v>
      </c>
      <c r="H351" s="13">
        <f t="shared" si="3"/>
        <v>0</v>
      </c>
      <c r="I351" s="13">
        <f t="shared" si="4"/>
        <v>0</v>
      </c>
      <c r="J351" s="12"/>
      <c r="K351" s="18" t="str">
        <f>IFERROR(VLOOKUP(A351,Proveedores!B349:H562,3,0), "")</f>
        <v/>
      </c>
    </row>
    <row r="352" ht="21.75" customHeight="1">
      <c r="A352" s="16" t="str">
        <f>Productos!B350</f>
        <v/>
      </c>
      <c r="B352" s="16" t="str">
        <f>Productos!C350</f>
        <v/>
      </c>
      <c r="C352" s="16" t="str">
        <f>Productos!E350</f>
        <v/>
      </c>
      <c r="D352" s="13" t="str">
        <f>Productos!F350</f>
        <v/>
      </c>
      <c r="E352" s="13" t="str">
        <f>Productos!G350</f>
        <v/>
      </c>
      <c r="F352" s="19"/>
      <c r="G352" s="13">
        <f t="shared" si="2"/>
        <v>0</v>
      </c>
      <c r="H352" s="13">
        <f t="shared" si="3"/>
        <v>0</v>
      </c>
      <c r="I352" s="13">
        <f t="shared" si="4"/>
        <v>0</v>
      </c>
      <c r="J352" s="12"/>
      <c r="K352" s="18" t="str">
        <f>IFERROR(VLOOKUP(A352,Proveedores!B350:H563,3,0), "")</f>
        <v/>
      </c>
    </row>
    <row r="353" ht="21.75" customHeight="1">
      <c r="A353" s="16" t="str">
        <f>Productos!B351</f>
        <v/>
      </c>
      <c r="B353" s="16" t="str">
        <f>Productos!C351</f>
        <v/>
      </c>
      <c r="C353" s="16" t="str">
        <f>Productos!E351</f>
        <v/>
      </c>
      <c r="D353" s="13" t="str">
        <f>Productos!F351</f>
        <v/>
      </c>
      <c r="E353" s="13" t="str">
        <f>Productos!G351</f>
        <v/>
      </c>
      <c r="F353" s="19"/>
      <c r="G353" s="13">
        <f t="shared" si="2"/>
        <v>0</v>
      </c>
      <c r="H353" s="13">
        <f t="shared" si="3"/>
        <v>0</v>
      </c>
      <c r="I353" s="13">
        <f t="shared" si="4"/>
        <v>0</v>
      </c>
      <c r="J353" s="12"/>
      <c r="K353" s="18" t="str">
        <f>IFERROR(VLOOKUP(A353,Proveedores!B351:H564,3,0), "")</f>
        <v/>
      </c>
    </row>
    <row r="354" ht="21.75" customHeight="1">
      <c r="A354" s="16" t="str">
        <f>Productos!B352</f>
        <v/>
      </c>
      <c r="B354" s="16" t="str">
        <f>Productos!C352</f>
        <v/>
      </c>
      <c r="C354" s="16" t="str">
        <f>Productos!E352</f>
        <v/>
      </c>
      <c r="D354" s="13" t="str">
        <f>Productos!F352</f>
        <v/>
      </c>
      <c r="E354" s="13" t="str">
        <f>Productos!G352</f>
        <v/>
      </c>
      <c r="F354" s="19"/>
      <c r="G354" s="13">
        <f t="shared" si="2"/>
        <v>0</v>
      </c>
      <c r="H354" s="13">
        <f t="shared" si="3"/>
        <v>0</v>
      </c>
      <c r="I354" s="13">
        <f t="shared" si="4"/>
        <v>0</v>
      </c>
      <c r="J354" s="12"/>
      <c r="K354" s="18" t="str">
        <f>IFERROR(VLOOKUP(A354,Proveedores!B352:H565,3,0), "")</f>
        <v/>
      </c>
    </row>
    <row r="355" ht="21.75" customHeight="1">
      <c r="A355" s="16" t="str">
        <f>Productos!B353</f>
        <v/>
      </c>
      <c r="B355" s="16" t="str">
        <f>Productos!C353</f>
        <v/>
      </c>
      <c r="C355" s="16" t="str">
        <f>Productos!E353</f>
        <v/>
      </c>
      <c r="D355" s="13" t="str">
        <f>Productos!F353</f>
        <v/>
      </c>
      <c r="E355" s="13" t="str">
        <f>Productos!G353</f>
        <v/>
      </c>
      <c r="F355" s="19"/>
      <c r="G355" s="13">
        <f t="shared" si="2"/>
        <v>0</v>
      </c>
      <c r="H355" s="13">
        <f t="shared" si="3"/>
        <v>0</v>
      </c>
      <c r="I355" s="13">
        <f t="shared" si="4"/>
        <v>0</v>
      </c>
      <c r="J355" s="12"/>
      <c r="K355" s="18" t="str">
        <f>IFERROR(VLOOKUP(A355,Proveedores!B353:H566,3,0), "")</f>
        <v/>
      </c>
    </row>
    <row r="356" ht="21.75" customHeight="1">
      <c r="A356" s="16" t="str">
        <f>Productos!B354</f>
        <v/>
      </c>
      <c r="B356" s="16" t="str">
        <f>Productos!C354</f>
        <v/>
      </c>
      <c r="C356" s="16" t="str">
        <f>Productos!E354</f>
        <v/>
      </c>
      <c r="D356" s="13" t="str">
        <f>Productos!F354</f>
        <v/>
      </c>
      <c r="E356" s="13" t="str">
        <f>Productos!G354</f>
        <v/>
      </c>
      <c r="F356" s="19"/>
      <c r="G356" s="13">
        <f t="shared" si="2"/>
        <v>0</v>
      </c>
      <c r="H356" s="13">
        <f t="shared" si="3"/>
        <v>0</v>
      </c>
      <c r="I356" s="13">
        <f t="shared" si="4"/>
        <v>0</v>
      </c>
      <c r="J356" s="12"/>
      <c r="K356" s="18" t="str">
        <f>IFERROR(VLOOKUP(A356,Proveedores!B354:H567,3,0), "")</f>
        <v/>
      </c>
    </row>
    <row r="357" ht="21.75" customHeight="1">
      <c r="A357" s="16" t="str">
        <f>Productos!B355</f>
        <v/>
      </c>
      <c r="B357" s="16" t="str">
        <f>Productos!C355</f>
        <v/>
      </c>
      <c r="C357" s="16" t="str">
        <f>Productos!E355</f>
        <v/>
      </c>
      <c r="D357" s="13" t="str">
        <f>Productos!F355</f>
        <v/>
      </c>
      <c r="E357" s="13" t="str">
        <f>Productos!G355</f>
        <v/>
      </c>
      <c r="F357" s="19"/>
      <c r="G357" s="13">
        <f t="shared" si="2"/>
        <v>0</v>
      </c>
      <c r="H357" s="13">
        <f t="shared" si="3"/>
        <v>0</v>
      </c>
      <c r="I357" s="13">
        <f t="shared" si="4"/>
        <v>0</v>
      </c>
      <c r="J357" s="12"/>
      <c r="K357" s="18" t="str">
        <f>IFERROR(VLOOKUP(A357,Proveedores!B355:H568,3,0), "")</f>
        <v/>
      </c>
    </row>
    <row r="358" ht="21.75" customHeight="1">
      <c r="A358" s="16" t="str">
        <f>Productos!B356</f>
        <v/>
      </c>
      <c r="B358" s="16" t="str">
        <f>Productos!C356</f>
        <v/>
      </c>
      <c r="C358" s="16" t="str">
        <f>Productos!E356</f>
        <v/>
      </c>
      <c r="D358" s="13" t="str">
        <f>Productos!F356</f>
        <v/>
      </c>
      <c r="E358" s="13" t="str">
        <f>Productos!G356</f>
        <v/>
      </c>
      <c r="F358" s="19"/>
      <c r="G358" s="13">
        <f t="shared" si="2"/>
        <v>0</v>
      </c>
      <c r="H358" s="13">
        <f t="shared" si="3"/>
        <v>0</v>
      </c>
      <c r="I358" s="13">
        <f t="shared" si="4"/>
        <v>0</v>
      </c>
      <c r="J358" s="12"/>
      <c r="K358" s="18" t="str">
        <f>IFERROR(VLOOKUP(A358,Proveedores!B356:H569,3,0), "")</f>
        <v/>
      </c>
    </row>
    <row r="359" ht="21.75" customHeight="1">
      <c r="A359" s="16" t="str">
        <f>Productos!B357</f>
        <v/>
      </c>
      <c r="B359" s="16" t="str">
        <f>Productos!C357</f>
        <v/>
      </c>
      <c r="C359" s="16" t="str">
        <f>Productos!E357</f>
        <v/>
      </c>
      <c r="D359" s="13" t="str">
        <f>Productos!F357</f>
        <v/>
      </c>
      <c r="E359" s="13" t="str">
        <f>Productos!G357</f>
        <v/>
      </c>
      <c r="F359" s="19"/>
      <c r="G359" s="13">
        <f t="shared" si="2"/>
        <v>0</v>
      </c>
      <c r="H359" s="13">
        <f t="shared" si="3"/>
        <v>0</v>
      </c>
      <c r="I359" s="13">
        <f t="shared" si="4"/>
        <v>0</v>
      </c>
      <c r="J359" s="12"/>
      <c r="K359" s="18" t="str">
        <f>IFERROR(VLOOKUP(A359,Proveedores!B357:H570,3,0), "")</f>
        <v/>
      </c>
    </row>
    <row r="360" ht="21.75" customHeight="1">
      <c r="A360" s="16" t="str">
        <f>Productos!B358</f>
        <v/>
      </c>
      <c r="B360" s="16" t="str">
        <f>Productos!C358</f>
        <v/>
      </c>
      <c r="C360" s="16" t="str">
        <f>Productos!E358</f>
        <v/>
      </c>
      <c r="D360" s="13" t="str">
        <f>Productos!F358</f>
        <v/>
      </c>
      <c r="E360" s="13" t="str">
        <f>Productos!G358</f>
        <v/>
      </c>
      <c r="F360" s="19"/>
      <c r="G360" s="13">
        <f t="shared" si="2"/>
        <v>0</v>
      </c>
      <c r="H360" s="13">
        <f t="shared" si="3"/>
        <v>0</v>
      </c>
      <c r="I360" s="13">
        <f t="shared" si="4"/>
        <v>0</v>
      </c>
      <c r="J360" s="12"/>
      <c r="K360" s="18" t="str">
        <f>IFERROR(VLOOKUP(A360,Proveedores!B358:H571,3,0), "")</f>
        <v/>
      </c>
    </row>
    <row r="361" ht="21.75" customHeight="1">
      <c r="A361" s="16" t="str">
        <f>Productos!B359</f>
        <v/>
      </c>
      <c r="B361" s="16" t="str">
        <f>Productos!C359</f>
        <v/>
      </c>
      <c r="C361" s="16" t="str">
        <f>Productos!E359</f>
        <v/>
      </c>
      <c r="D361" s="13" t="str">
        <f>Productos!F359</f>
        <v/>
      </c>
      <c r="E361" s="13" t="str">
        <f>Productos!G359</f>
        <v/>
      </c>
      <c r="F361" s="19"/>
      <c r="G361" s="13">
        <f t="shared" si="2"/>
        <v>0</v>
      </c>
      <c r="H361" s="13">
        <f t="shared" si="3"/>
        <v>0</v>
      </c>
      <c r="I361" s="13">
        <f t="shared" si="4"/>
        <v>0</v>
      </c>
      <c r="J361" s="12"/>
      <c r="K361" s="18" t="str">
        <f>IFERROR(VLOOKUP(A361,Proveedores!B359:H572,3,0), "")</f>
        <v/>
      </c>
    </row>
    <row r="362" ht="21.75" customHeight="1">
      <c r="A362" s="16" t="str">
        <f>Productos!B360</f>
        <v/>
      </c>
      <c r="B362" s="16" t="str">
        <f>Productos!C360</f>
        <v/>
      </c>
      <c r="C362" s="16" t="str">
        <f>Productos!E360</f>
        <v/>
      </c>
      <c r="D362" s="13" t="str">
        <f>Productos!F360</f>
        <v/>
      </c>
      <c r="E362" s="13" t="str">
        <f>Productos!G360</f>
        <v/>
      </c>
      <c r="F362" s="19"/>
      <c r="G362" s="13">
        <f t="shared" si="2"/>
        <v>0</v>
      </c>
      <c r="H362" s="13">
        <f t="shared" si="3"/>
        <v>0</v>
      </c>
      <c r="I362" s="13">
        <f t="shared" si="4"/>
        <v>0</v>
      </c>
      <c r="J362" s="12"/>
      <c r="K362" s="18" t="str">
        <f>IFERROR(VLOOKUP(A362,Proveedores!B360:H573,3,0), "")</f>
        <v/>
      </c>
    </row>
    <row r="363" ht="21.75" customHeight="1">
      <c r="A363" s="16" t="str">
        <f>Productos!B361</f>
        <v/>
      </c>
      <c r="B363" s="16" t="str">
        <f>Productos!C361</f>
        <v/>
      </c>
      <c r="C363" s="16" t="str">
        <f>Productos!E361</f>
        <v/>
      </c>
      <c r="D363" s="13" t="str">
        <f>Productos!F361</f>
        <v/>
      </c>
      <c r="E363" s="13" t="str">
        <f>Productos!G361</f>
        <v/>
      </c>
      <c r="F363" s="19"/>
      <c r="G363" s="13">
        <f t="shared" si="2"/>
        <v>0</v>
      </c>
      <c r="H363" s="13">
        <f t="shared" si="3"/>
        <v>0</v>
      </c>
      <c r="I363" s="13">
        <f t="shared" si="4"/>
        <v>0</v>
      </c>
      <c r="J363" s="12"/>
      <c r="K363" s="18" t="str">
        <f>IFERROR(VLOOKUP(A363,Proveedores!B361:H574,3,0), "")</f>
        <v/>
      </c>
    </row>
    <row r="364" ht="21.75" customHeight="1">
      <c r="A364" s="16" t="str">
        <f>Productos!B362</f>
        <v/>
      </c>
      <c r="B364" s="16" t="str">
        <f>Productos!C362</f>
        <v/>
      </c>
      <c r="C364" s="16" t="str">
        <f>Productos!E362</f>
        <v/>
      </c>
      <c r="D364" s="13" t="str">
        <f>Productos!F362</f>
        <v/>
      </c>
      <c r="E364" s="13" t="str">
        <f>Productos!G362</f>
        <v/>
      </c>
      <c r="F364" s="19"/>
      <c r="G364" s="13">
        <f t="shared" si="2"/>
        <v>0</v>
      </c>
      <c r="H364" s="13">
        <f t="shared" si="3"/>
        <v>0</v>
      </c>
      <c r="I364" s="13">
        <f t="shared" si="4"/>
        <v>0</v>
      </c>
      <c r="J364" s="12"/>
      <c r="K364" s="18" t="str">
        <f>IFERROR(VLOOKUP(A364,Proveedores!B362:H575,3,0), "")</f>
        <v/>
      </c>
    </row>
    <row r="365" ht="21.75" customHeight="1">
      <c r="A365" s="16" t="str">
        <f>Productos!B363</f>
        <v/>
      </c>
      <c r="B365" s="16" t="str">
        <f>Productos!C363</f>
        <v/>
      </c>
      <c r="C365" s="16" t="str">
        <f>Productos!E363</f>
        <v/>
      </c>
      <c r="D365" s="13" t="str">
        <f>Productos!F363</f>
        <v/>
      </c>
      <c r="E365" s="13" t="str">
        <f>Productos!G363</f>
        <v/>
      </c>
      <c r="F365" s="19"/>
      <c r="G365" s="13">
        <f t="shared" si="2"/>
        <v>0</v>
      </c>
      <c r="H365" s="13">
        <f t="shared" si="3"/>
        <v>0</v>
      </c>
      <c r="I365" s="13">
        <f t="shared" si="4"/>
        <v>0</v>
      </c>
      <c r="J365" s="12"/>
      <c r="K365" s="18" t="str">
        <f>IFERROR(VLOOKUP(A365,Proveedores!B363:H576,3,0), "")</f>
        <v/>
      </c>
    </row>
    <row r="366" ht="21.75" customHeight="1">
      <c r="A366" s="16" t="str">
        <f>Productos!B364</f>
        <v/>
      </c>
      <c r="B366" s="16" t="str">
        <f>Productos!C364</f>
        <v/>
      </c>
      <c r="C366" s="16" t="str">
        <f>Productos!E364</f>
        <v/>
      </c>
      <c r="D366" s="13" t="str">
        <f>Productos!F364</f>
        <v/>
      </c>
      <c r="E366" s="13" t="str">
        <f>Productos!G364</f>
        <v/>
      </c>
      <c r="F366" s="19"/>
      <c r="G366" s="13">
        <f t="shared" si="2"/>
        <v>0</v>
      </c>
      <c r="H366" s="13">
        <f t="shared" si="3"/>
        <v>0</v>
      </c>
      <c r="I366" s="13">
        <f t="shared" si="4"/>
        <v>0</v>
      </c>
      <c r="J366" s="12"/>
      <c r="K366" s="18" t="str">
        <f>IFERROR(VLOOKUP(A366,Proveedores!B364:H577,3,0), "")</f>
        <v/>
      </c>
    </row>
    <row r="367" ht="21.75" customHeight="1">
      <c r="A367" s="16" t="str">
        <f>Productos!B365</f>
        <v/>
      </c>
      <c r="B367" s="16" t="str">
        <f>Productos!C365</f>
        <v/>
      </c>
      <c r="C367" s="16" t="str">
        <f>Productos!E365</f>
        <v/>
      </c>
      <c r="D367" s="13" t="str">
        <f>Productos!F365</f>
        <v/>
      </c>
      <c r="E367" s="13" t="str">
        <f>Productos!G365</f>
        <v/>
      </c>
      <c r="F367" s="19"/>
      <c r="G367" s="13">
        <f t="shared" si="2"/>
        <v>0</v>
      </c>
      <c r="H367" s="13">
        <f t="shared" si="3"/>
        <v>0</v>
      </c>
      <c r="I367" s="13">
        <f t="shared" si="4"/>
        <v>0</v>
      </c>
      <c r="J367" s="12"/>
      <c r="K367" s="18" t="str">
        <f>IFERROR(VLOOKUP(A367,Proveedores!B365:H578,3,0), "")</f>
        <v/>
      </c>
    </row>
    <row r="368" ht="21.75" customHeight="1">
      <c r="A368" s="16" t="str">
        <f>Productos!B366</f>
        <v/>
      </c>
      <c r="B368" s="16" t="str">
        <f>Productos!C366</f>
        <v/>
      </c>
      <c r="C368" s="16" t="str">
        <f>Productos!E366</f>
        <v/>
      </c>
      <c r="D368" s="13" t="str">
        <f>Productos!F366</f>
        <v/>
      </c>
      <c r="E368" s="13" t="str">
        <f>Productos!G366</f>
        <v/>
      </c>
      <c r="F368" s="19"/>
      <c r="G368" s="13">
        <f t="shared" si="2"/>
        <v>0</v>
      </c>
      <c r="H368" s="13">
        <f t="shared" si="3"/>
        <v>0</v>
      </c>
      <c r="I368" s="13">
        <f t="shared" si="4"/>
        <v>0</v>
      </c>
      <c r="J368" s="12"/>
      <c r="K368" s="18" t="str">
        <f>IFERROR(VLOOKUP(A368,Proveedores!B366:H579,3,0), "")</f>
        <v/>
      </c>
    </row>
    <row r="369" ht="21.75" customHeight="1">
      <c r="A369" s="16" t="str">
        <f>Productos!B367</f>
        <v/>
      </c>
      <c r="B369" s="16" t="str">
        <f>Productos!C367</f>
        <v/>
      </c>
      <c r="C369" s="16" t="str">
        <f>Productos!E367</f>
        <v/>
      </c>
      <c r="D369" s="13" t="str">
        <f>Productos!F367</f>
        <v/>
      </c>
      <c r="E369" s="13" t="str">
        <f>Productos!G367</f>
        <v/>
      </c>
      <c r="F369" s="19"/>
      <c r="G369" s="13">
        <f t="shared" si="2"/>
        <v>0</v>
      </c>
      <c r="H369" s="13">
        <f t="shared" si="3"/>
        <v>0</v>
      </c>
      <c r="I369" s="13">
        <f t="shared" si="4"/>
        <v>0</v>
      </c>
      <c r="J369" s="12"/>
      <c r="K369" s="18" t="str">
        <f>IFERROR(VLOOKUP(A369,Proveedores!B367:H580,3,0), "")</f>
        <v/>
      </c>
    </row>
    <row r="370" ht="21.75" customHeight="1">
      <c r="A370" s="16" t="str">
        <f>Productos!B368</f>
        <v/>
      </c>
      <c r="B370" s="16" t="str">
        <f>Productos!C368</f>
        <v/>
      </c>
      <c r="C370" s="16" t="str">
        <f>Productos!E368</f>
        <v/>
      </c>
      <c r="D370" s="13" t="str">
        <f>Productos!F368</f>
        <v/>
      </c>
      <c r="E370" s="13" t="str">
        <f>Productos!G368</f>
        <v/>
      </c>
      <c r="F370" s="19"/>
      <c r="G370" s="13">
        <f t="shared" si="2"/>
        <v>0</v>
      </c>
      <c r="H370" s="13">
        <f t="shared" si="3"/>
        <v>0</v>
      </c>
      <c r="I370" s="13">
        <f t="shared" si="4"/>
        <v>0</v>
      </c>
      <c r="J370" s="12"/>
      <c r="K370" s="18" t="str">
        <f>IFERROR(VLOOKUP(A370,Proveedores!B368:H581,3,0), "")</f>
        <v/>
      </c>
    </row>
    <row r="371" ht="21.75" customHeight="1">
      <c r="A371" s="16" t="str">
        <f>Productos!B369</f>
        <v/>
      </c>
      <c r="B371" s="16" t="str">
        <f>Productos!C369</f>
        <v/>
      </c>
      <c r="C371" s="16" t="str">
        <f>Productos!E369</f>
        <v/>
      </c>
      <c r="D371" s="13" t="str">
        <f>Productos!F369</f>
        <v/>
      </c>
      <c r="E371" s="13" t="str">
        <f>Productos!G369</f>
        <v/>
      </c>
      <c r="F371" s="19"/>
      <c r="G371" s="13">
        <f t="shared" si="2"/>
        <v>0</v>
      </c>
      <c r="H371" s="13">
        <f t="shared" si="3"/>
        <v>0</v>
      </c>
      <c r="I371" s="13">
        <f t="shared" si="4"/>
        <v>0</v>
      </c>
      <c r="J371" s="12"/>
      <c r="K371" s="18" t="str">
        <f>IFERROR(VLOOKUP(A371,Proveedores!B369:H582,3,0), "")</f>
        <v/>
      </c>
    </row>
    <row r="372" ht="21.75" customHeight="1">
      <c r="A372" s="16" t="str">
        <f>Productos!B370</f>
        <v/>
      </c>
      <c r="B372" s="16" t="str">
        <f>Productos!C370</f>
        <v/>
      </c>
      <c r="C372" s="16" t="str">
        <f>Productos!E370</f>
        <v/>
      </c>
      <c r="D372" s="13" t="str">
        <f>Productos!F370</f>
        <v/>
      </c>
      <c r="E372" s="13" t="str">
        <f>Productos!G370</f>
        <v/>
      </c>
      <c r="F372" s="19"/>
      <c r="G372" s="13">
        <f t="shared" si="2"/>
        <v>0</v>
      </c>
      <c r="H372" s="13">
        <f t="shared" si="3"/>
        <v>0</v>
      </c>
      <c r="I372" s="13">
        <f t="shared" si="4"/>
        <v>0</v>
      </c>
      <c r="J372" s="12"/>
      <c r="K372" s="18" t="str">
        <f>IFERROR(VLOOKUP(A372,Proveedores!B370:H583,3,0), "")</f>
        <v/>
      </c>
    </row>
    <row r="373" ht="21.75" customHeight="1">
      <c r="A373" s="16" t="str">
        <f>Productos!B371</f>
        <v/>
      </c>
      <c r="B373" s="16" t="str">
        <f>Productos!C371</f>
        <v/>
      </c>
      <c r="C373" s="16" t="str">
        <f>Productos!E371</f>
        <v/>
      </c>
      <c r="D373" s="13" t="str">
        <f>Productos!F371</f>
        <v/>
      </c>
      <c r="E373" s="13" t="str">
        <f>Productos!G371</f>
        <v/>
      </c>
      <c r="F373" s="19"/>
      <c r="G373" s="13">
        <f t="shared" si="2"/>
        <v>0</v>
      </c>
      <c r="H373" s="13">
        <f t="shared" si="3"/>
        <v>0</v>
      </c>
      <c r="I373" s="13">
        <f t="shared" si="4"/>
        <v>0</v>
      </c>
      <c r="J373" s="12"/>
      <c r="K373" s="18" t="str">
        <f>IFERROR(VLOOKUP(A373,Proveedores!B371:H584,3,0), "")</f>
        <v/>
      </c>
    </row>
    <row r="374" ht="21.75" customHeight="1">
      <c r="A374" s="16" t="str">
        <f>Productos!B372</f>
        <v/>
      </c>
      <c r="B374" s="16" t="str">
        <f>Productos!C372</f>
        <v/>
      </c>
      <c r="C374" s="16" t="str">
        <f>Productos!E372</f>
        <v/>
      </c>
      <c r="D374" s="13" t="str">
        <f>Productos!F372</f>
        <v/>
      </c>
      <c r="E374" s="13" t="str">
        <f>Productos!G372</f>
        <v/>
      </c>
      <c r="F374" s="19"/>
      <c r="G374" s="13">
        <f t="shared" si="2"/>
        <v>0</v>
      </c>
      <c r="H374" s="13">
        <f t="shared" si="3"/>
        <v>0</v>
      </c>
      <c r="I374" s="13">
        <f t="shared" si="4"/>
        <v>0</v>
      </c>
      <c r="J374" s="12"/>
      <c r="K374" s="18" t="str">
        <f>IFERROR(VLOOKUP(A374,Proveedores!B372:H585,3,0), "")</f>
        <v/>
      </c>
    </row>
    <row r="375" ht="21.75" customHeight="1">
      <c r="A375" s="16" t="str">
        <f>Productos!B373</f>
        <v/>
      </c>
      <c r="B375" s="16" t="str">
        <f>Productos!C373</f>
        <v/>
      </c>
      <c r="C375" s="16" t="str">
        <f>Productos!E373</f>
        <v/>
      </c>
      <c r="D375" s="13" t="str">
        <f>Productos!F373</f>
        <v/>
      </c>
      <c r="E375" s="13" t="str">
        <f>Productos!G373</f>
        <v/>
      </c>
      <c r="F375" s="19"/>
      <c r="G375" s="13">
        <f t="shared" si="2"/>
        <v>0</v>
      </c>
      <c r="H375" s="13">
        <f t="shared" si="3"/>
        <v>0</v>
      </c>
      <c r="I375" s="13">
        <f t="shared" si="4"/>
        <v>0</v>
      </c>
      <c r="J375" s="12"/>
      <c r="K375" s="18" t="str">
        <f>IFERROR(VLOOKUP(A375,Proveedores!B373:H586,3,0), "")</f>
        <v/>
      </c>
    </row>
    <row r="376" ht="21.75" customHeight="1">
      <c r="A376" s="16" t="str">
        <f>Productos!B374</f>
        <v/>
      </c>
      <c r="B376" s="16" t="str">
        <f>Productos!C374</f>
        <v/>
      </c>
      <c r="C376" s="16" t="str">
        <f>Productos!E374</f>
        <v/>
      </c>
      <c r="D376" s="13" t="str">
        <f>Productos!F374</f>
        <v/>
      </c>
      <c r="E376" s="13" t="str">
        <f>Productos!G374</f>
        <v/>
      </c>
      <c r="F376" s="19"/>
      <c r="G376" s="13">
        <f t="shared" si="2"/>
        <v>0</v>
      </c>
      <c r="H376" s="13">
        <f t="shared" si="3"/>
        <v>0</v>
      </c>
      <c r="I376" s="13">
        <f t="shared" si="4"/>
        <v>0</v>
      </c>
      <c r="J376" s="12"/>
      <c r="K376" s="18" t="str">
        <f>IFERROR(VLOOKUP(A376,Proveedores!B374:H587,3,0), "")</f>
        <v/>
      </c>
    </row>
    <row r="377" ht="21.75" customHeight="1">
      <c r="A377" s="16" t="str">
        <f>Productos!B375</f>
        <v/>
      </c>
      <c r="B377" s="16" t="str">
        <f>Productos!C375</f>
        <v/>
      </c>
      <c r="C377" s="16" t="str">
        <f>Productos!E375</f>
        <v/>
      </c>
      <c r="D377" s="13" t="str">
        <f>Productos!F375</f>
        <v/>
      </c>
      <c r="E377" s="13" t="str">
        <f>Productos!G375</f>
        <v/>
      </c>
      <c r="F377" s="19"/>
      <c r="G377" s="13">
        <f t="shared" si="2"/>
        <v>0</v>
      </c>
      <c r="H377" s="13">
        <f t="shared" si="3"/>
        <v>0</v>
      </c>
      <c r="I377" s="13">
        <f t="shared" si="4"/>
        <v>0</v>
      </c>
      <c r="J377" s="12"/>
      <c r="K377" s="18" t="str">
        <f>IFERROR(VLOOKUP(A377,Proveedores!B375:H588,3,0), "")</f>
        <v/>
      </c>
    </row>
    <row r="378" ht="21.75" customHeight="1">
      <c r="A378" s="16" t="str">
        <f>Productos!B376</f>
        <v/>
      </c>
      <c r="B378" s="16" t="str">
        <f>Productos!C376</f>
        <v/>
      </c>
      <c r="C378" s="16" t="str">
        <f>Productos!E376</f>
        <v/>
      </c>
      <c r="D378" s="13" t="str">
        <f>Productos!F376</f>
        <v/>
      </c>
      <c r="E378" s="13" t="str">
        <f>Productos!G376</f>
        <v/>
      </c>
      <c r="F378" s="19"/>
      <c r="G378" s="13">
        <f t="shared" si="2"/>
        <v>0</v>
      </c>
      <c r="H378" s="13">
        <f t="shared" si="3"/>
        <v>0</v>
      </c>
      <c r="I378" s="13">
        <f t="shared" si="4"/>
        <v>0</v>
      </c>
      <c r="J378" s="12"/>
      <c r="K378" s="18" t="str">
        <f>IFERROR(VLOOKUP(A378,Proveedores!B376:H589,3,0), "")</f>
        <v/>
      </c>
    </row>
    <row r="379" ht="21.75" customHeight="1">
      <c r="A379" s="16" t="str">
        <f>Productos!B377</f>
        <v/>
      </c>
      <c r="B379" s="16" t="str">
        <f>Productos!C377</f>
        <v/>
      </c>
      <c r="C379" s="16" t="str">
        <f>Productos!E377</f>
        <v/>
      </c>
      <c r="D379" s="13" t="str">
        <f>Productos!F377</f>
        <v/>
      </c>
      <c r="E379" s="13" t="str">
        <f>Productos!G377</f>
        <v/>
      </c>
      <c r="F379" s="19"/>
      <c r="G379" s="13">
        <f t="shared" si="2"/>
        <v>0</v>
      </c>
      <c r="H379" s="13">
        <f t="shared" si="3"/>
        <v>0</v>
      </c>
      <c r="I379" s="13">
        <f t="shared" si="4"/>
        <v>0</v>
      </c>
      <c r="J379" s="12"/>
      <c r="K379" s="18" t="str">
        <f>IFERROR(VLOOKUP(A379,Proveedores!B377:H590,3,0), "")</f>
        <v/>
      </c>
    </row>
    <row r="380" ht="21.75" customHeight="1">
      <c r="A380" s="16" t="str">
        <f>Productos!B378</f>
        <v/>
      </c>
      <c r="B380" s="16" t="str">
        <f>Productos!C378</f>
        <v/>
      </c>
      <c r="C380" s="16" t="str">
        <f>Productos!E378</f>
        <v/>
      </c>
      <c r="D380" s="13" t="str">
        <f>Productos!F378</f>
        <v/>
      </c>
      <c r="E380" s="13" t="str">
        <f>Productos!G378</f>
        <v/>
      </c>
      <c r="F380" s="19"/>
      <c r="G380" s="13">
        <f t="shared" si="2"/>
        <v>0</v>
      </c>
      <c r="H380" s="13">
        <f t="shared" si="3"/>
        <v>0</v>
      </c>
      <c r="I380" s="13">
        <f t="shared" si="4"/>
        <v>0</v>
      </c>
      <c r="J380" s="12"/>
      <c r="K380" s="18" t="str">
        <f>IFERROR(VLOOKUP(A380,Proveedores!B378:H591,3,0), "")</f>
        <v/>
      </c>
    </row>
    <row r="381" ht="21.75" customHeight="1">
      <c r="A381" s="16" t="str">
        <f>Productos!B379</f>
        <v/>
      </c>
      <c r="B381" s="16" t="str">
        <f>Productos!C379</f>
        <v/>
      </c>
      <c r="C381" s="16" t="str">
        <f>Productos!E379</f>
        <v/>
      </c>
      <c r="D381" s="13" t="str">
        <f>Productos!F379</f>
        <v/>
      </c>
      <c r="E381" s="13" t="str">
        <f>Productos!G379</f>
        <v/>
      </c>
      <c r="F381" s="19"/>
      <c r="G381" s="13">
        <f t="shared" si="2"/>
        <v>0</v>
      </c>
      <c r="H381" s="13">
        <f t="shared" si="3"/>
        <v>0</v>
      </c>
      <c r="I381" s="13">
        <f t="shared" si="4"/>
        <v>0</v>
      </c>
      <c r="J381" s="12"/>
      <c r="K381" s="18" t="str">
        <f>IFERROR(VLOOKUP(A381,Proveedores!B379:H592,3,0), "")</f>
        <v/>
      </c>
    </row>
    <row r="382" ht="21.75" customHeight="1">
      <c r="A382" s="16" t="str">
        <f>Productos!B380</f>
        <v/>
      </c>
      <c r="B382" s="16" t="str">
        <f>Productos!C380</f>
        <v/>
      </c>
      <c r="C382" s="16" t="str">
        <f>Productos!E380</f>
        <v/>
      </c>
      <c r="D382" s="13" t="str">
        <f>Productos!F380</f>
        <v/>
      </c>
      <c r="E382" s="13" t="str">
        <f>Productos!G380</f>
        <v/>
      </c>
      <c r="F382" s="19"/>
      <c r="G382" s="13">
        <f t="shared" si="2"/>
        <v>0</v>
      </c>
      <c r="H382" s="13">
        <f t="shared" si="3"/>
        <v>0</v>
      </c>
      <c r="I382" s="13">
        <f t="shared" si="4"/>
        <v>0</v>
      </c>
      <c r="J382" s="12"/>
      <c r="K382" s="18" t="str">
        <f>IFERROR(VLOOKUP(A382,Proveedores!B380:H593,3,0), "")</f>
        <v/>
      </c>
    </row>
    <row r="383" ht="21.75" customHeight="1">
      <c r="A383" s="16" t="str">
        <f>Productos!B381</f>
        <v/>
      </c>
      <c r="B383" s="16" t="str">
        <f>Productos!C381</f>
        <v/>
      </c>
      <c r="C383" s="16" t="str">
        <f>Productos!E381</f>
        <v/>
      </c>
      <c r="D383" s="13" t="str">
        <f>Productos!F381</f>
        <v/>
      </c>
      <c r="E383" s="13" t="str">
        <f>Productos!G381</f>
        <v/>
      </c>
      <c r="F383" s="19"/>
      <c r="G383" s="13">
        <f t="shared" si="2"/>
        <v>0</v>
      </c>
      <c r="H383" s="13">
        <f t="shared" si="3"/>
        <v>0</v>
      </c>
      <c r="I383" s="13">
        <f t="shared" si="4"/>
        <v>0</v>
      </c>
      <c r="J383" s="12"/>
      <c r="K383" s="18" t="str">
        <f>IFERROR(VLOOKUP(A383,Proveedores!B381:H594,3,0), "")</f>
        <v/>
      </c>
    </row>
    <row r="384" ht="21.75" customHeight="1">
      <c r="A384" s="16" t="str">
        <f>Productos!B382</f>
        <v/>
      </c>
      <c r="B384" s="16" t="str">
        <f>Productos!C382</f>
        <v/>
      </c>
      <c r="C384" s="16" t="str">
        <f>Productos!E382</f>
        <v/>
      </c>
      <c r="D384" s="13" t="str">
        <f>Productos!F382</f>
        <v/>
      </c>
      <c r="E384" s="13" t="str">
        <f>Productos!G382</f>
        <v/>
      </c>
      <c r="F384" s="19"/>
      <c r="G384" s="13">
        <f t="shared" si="2"/>
        <v>0</v>
      </c>
      <c r="H384" s="13">
        <f t="shared" si="3"/>
        <v>0</v>
      </c>
      <c r="I384" s="13">
        <f t="shared" si="4"/>
        <v>0</v>
      </c>
      <c r="J384" s="12"/>
      <c r="K384" s="18" t="str">
        <f>IFERROR(VLOOKUP(A384,Proveedores!B382:H595,3,0), "")</f>
        <v/>
      </c>
    </row>
    <row r="385" ht="21.75" customHeight="1">
      <c r="A385" s="16" t="str">
        <f>Productos!B383</f>
        <v/>
      </c>
      <c r="B385" s="16" t="str">
        <f>Productos!C383</f>
        <v/>
      </c>
      <c r="C385" s="16" t="str">
        <f>Productos!E383</f>
        <v/>
      </c>
      <c r="D385" s="13" t="str">
        <f>Productos!F383</f>
        <v/>
      </c>
      <c r="E385" s="13" t="str">
        <f>Productos!G383</f>
        <v/>
      </c>
      <c r="F385" s="19"/>
      <c r="G385" s="13">
        <f t="shared" si="2"/>
        <v>0</v>
      </c>
      <c r="H385" s="13">
        <f t="shared" si="3"/>
        <v>0</v>
      </c>
      <c r="I385" s="13">
        <f t="shared" si="4"/>
        <v>0</v>
      </c>
      <c r="J385" s="12"/>
      <c r="K385" s="18" t="str">
        <f>IFERROR(VLOOKUP(A385,Proveedores!B383:H596,3,0), "")</f>
        <v/>
      </c>
    </row>
    <row r="386" ht="21.75" customHeight="1">
      <c r="A386" s="16" t="str">
        <f>Productos!B384</f>
        <v/>
      </c>
      <c r="B386" s="16" t="str">
        <f>Productos!C384</f>
        <v/>
      </c>
      <c r="C386" s="16" t="str">
        <f>Productos!E384</f>
        <v/>
      </c>
      <c r="D386" s="13" t="str">
        <f>Productos!F384</f>
        <v/>
      </c>
      <c r="E386" s="13" t="str">
        <f>Productos!G384</f>
        <v/>
      </c>
      <c r="F386" s="19"/>
      <c r="G386" s="13">
        <f t="shared" si="2"/>
        <v>0</v>
      </c>
      <c r="H386" s="13">
        <f t="shared" si="3"/>
        <v>0</v>
      </c>
      <c r="I386" s="13">
        <f t="shared" si="4"/>
        <v>0</v>
      </c>
      <c r="J386" s="12"/>
      <c r="K386" s="18" t="str">
        <f>IFERROR(VLOOKUP(A386,Proveedores!B384:H597,3,0), "")</f>
        <v/>
      </c>
    </row>
    <row r="387" ht="21.75" customHeight="1">
      <c r="A387" s="16" t="str">
        <f>Productos!B385</f>
        <v/>
      </c>
      <c r="B387" s="16" t="str">
        <f>Productos!C385</f>
        <v/>
      </c>
      <c r="C387" s="16" t="str">
        <f>Productos!E385</f>
        <v/>
      </c>
      <c r="D387" s="13" t="str">
        <f>Productos!F385</f>
        <v/>
      </c>
      <c r="E387" s="13" t="str">
        <f>Productos!G385</f>
        <v/>
      </c>
      <c r="F387" s="19"/>
      <c r="G387" s="13">
        <f t="shared" si="2"/>
        <v>0</v>
      </c>
      <c r="H387" s="13">
        <f t="shared" si="3"/>
        <v>0</v>
      </c>
      <c r="I387" s="13">
        <f t="shared" si="4"/>
        <v>0</v>
      </c>
      <c r="J387" s="12"/>
      <c r="K387" s="18" t="str">
        <f>IFERROR(VLOOKUP(A387,Proveedores!B385:H598,3,0), "")</f>
        <v/>
      </c>
    </row>
    <row r="388" ht="21.75" customHeight="1">
      <c r="A388" s="16" t="str">
        <f>Productos!B386</f>
        <v/>
      </c>
      <c r="B388" s="16" t="str">
        <f>Productos!C386</f>
        <v/>
      </c>
      <c r="C388" s="16" t="str">
        <f>Productos!E386</f>
        <v/>
      </c>
      <c r="D388" s="13" t="str">
        <f>Productos!F386</f>
        <v/>
      </c>
      <c r="E388" s="13" t="str">
        <f>Productos!G386</f>
        <v/>
      </c>
      <c r="F388" s="19"/>
      <c r="G388" s="13">
        <f t="shared" si="2"/>
        <v>0</v>
      </c>
      <c r="H388" s="13">
        <f t="shared" si="3"/>
        <v>0</v>
      </c>
      <c r="I388" s="13">
        <f t="shared" si="4"/>
        <v>0</v>
      </c>
      <c r="J388" s="12"/>
      <c r="K388" s="18" t="str">
        <f>IFERROR(VLOOKUP(A388,Proveedores!B386:H599,3,0), "")</f>
        <v/>
      </c>
    </row>
    <row r="389" ht="21.75" customHeight="1">
      <c r="A389" s="16" t="str">
        <f>Productos!B387</f>
        <v/>
      </c>
      <c r="B389" s="16" t="str">
        <f>Productos!C387</f>
        <v/>
      </c>
      <c r="C389" s="16" t="str">
        <f>Productos!E387</f>
        <v/>
      </c>
      <c r="D389" s="13" t="str">
        <f>Productos!F387</f>
        <v/>
      </c>
      <c r="E389" s="13" t="str">
        <f>Productos!G387</f>
        <v/>
      </c>
      <c r="F389" s="19"/>
      <c r="G389" s="13">
        <f t="shared" si="2"/>
        <v>0</v>
      </c>
      <c r="H389" s="13">
        <f t="shared" si="3"/>
        <v>0</v>
      </c>
      <c r="I389" s="13">
        <f t="shared" si="4"/>
        <v>0</v>
      </c>
      <c r="J389" s="12"/>
      <c r="K389" s="18" t="str">
        <f>IFERROR(VLOOKUP(A389,Proveedores!B387:H600,3,0), "")</f>
        <v/>
      </c>
    </row>
    <row r="390" ht="21.75" customHeight="1">
      <c r="A390" s="16" t="str">
        <f>Productos!B388</f>
        <v/>
      </c>
      <c r="B390" s="16" t="str">
        <f>Productos!C388</f>
        <v/>
      </c>
      <c r="C390" s="16" t="str">
        <f>Productos!E388</f>
        <v/>
      </c>
      <c r="D390" s="13" t="str">
        <f>Productos!F388</f>
        <v/>
      </c>
      <c r="E390" s="13" t="str">
        <f>Productos!G388</f>
        <v/>
      </c>
      <c r="F390" s="19"/>
      <c r="G390" s="13">
        <f t="shared" si="2"/>
        <v>0</v>
      </c>
      <c r="H390" s="13">
        <f t="shared" si="3"/>
        <v>0</v>
      </c>
      <c r="I390" s="13">
        <f t="shared" si="4"/>
        <v>0</v>
      </c>
      <c r="J390" s="12"/>
      <c r="K390" s="18" t="str">
        <f>IFERROR(VLOOKUP(A390,Proveedores!B388:H601,3,0), "")</f>
        <v/>
      </c>
    </row>
    <row r="391" ht="21.75" customHeight="1">
      <c r="A391" s="16" t="str">
        <f>Productos!B389</f>
        <v/>
      </c>
      <c r="B391" s="16" t="str">
        <f>Productos!C389</f>
        <v/>
      </c>
      <c r="C391" s="16" t="str">
        <f>Productos!E389</f>
        <v/>
      </c>
      <c r="D391" s="13" t="str">
        <f>Productos!F389</f>
        <v/>
      </c>
      <c r="E391" s="13" t="str">
        <f>Productos!G389</f>
        <v/>
      </c>
      <c r="F391" s="19"/>
      <c r="G391" s="13">
        <f t="shared" si="2"/>
        <v>0</v>
      </c>
      <c r="H391" s="13">
        <f t="shared" si="3"/>
        <v>0</v>
      </c>
      <c r="I391" s="13">
        <f t="shared" si="4"/>
        <v>0</v>
      </c>
      <c r="J391" s="12"/>
      <c r="K391" s="18" t="str">
        <f>IFERROR(VLOOKUP(A391,Proveedores!B389:H602,3,0), "")</f>
        <v/>
      </c>
    </row>
    <row r="392" ht="21.75" customHeight="1">
      <c r="A392" s="16" t="str">
        <f>Productos!B390</f>
        <v/>
      </c>
      <c r="B392" s="16" t="str">
        <f>Productos!C390</f>
        <v/>
      </c>
      <c r="C392" s="16" t="str">
        <f>Productos!E390</f>
        <v/>
      </c>
      <c r="D392" s="13" t="str">
        <f>Productos!F390</f>
        <v/>
      </c>
      <c r="E392" s="13" t="str">
        <f>Productos!G390</f>
        <v/>
      </c>
      <c r="F392" s="19"/>
      <c r="G392" s="13">
        <f t="shared" si="2"/>
        <v>0</v>
      </c>
      <c r="H392" s="13">
        <f t="shared" si="3"/>
        <v>0</v>
      </c>
      <c r="I392" s="13">
        <f t="shared" si="4"/>
        <v>0</v>
      </c>
      <c r="J392" s="12"/>
      <c r="K392" s="18" t="str">
        <f>IFERROR(VLOOKUP(A392,Proveedores!B390:H603,3,0), "")</f>
        <v/>
      </c>
    </row>
    <row r="393" ht="21.75" customHeight="1">
      <c r="A393" s="16" t="str">
        <f>Productos!B391</f>
        <v/>
      </c>
      <c r="B393" s="16" t="str">
        <f>Productos!C391</f>
        <v/>
      </c>
      <c r="C393" s="16" t="str">
        <f>Productos!E391</f>
        <v/>
      </c>
      <c r="D393" s="13" t="str">
        <f>Productos!F391</f>
        <v/>
      </c>
      <c r="E393" s="13" t="str">
        <f>Productos!G391</f>
        <v/>
      </c>
      <c r="F393" s="19"/>
      <c r="G393" s="13">
        <f t="shared" si="2"/>
        <v>0</v>
      </c>
      <c r="H393" s="13">
        <f t="shared" si="3"/>
        <v>0</v>
      </c>
      <c r="I393" s="13">
        <f t="shared" si="4"/>
        <v>0</v>
      </c>
      <c r="J393" s="12"/>
      <c r="K393" s="18" t="str">
        <f>IFERROR(VLOOKUP(A393,Proveedores!B391:H604,3,0), "")</f>
        <v/>
      </c>
    </row>
    <row r="394" ht="21.75" customHeight="1">
      <c r="A394" s="16" t="str">
        <f>Productos!B392</f>
        <v/>
      </c>
      <c r="B394" s="16" t="str">
        <f>Productos!C392</f>
        <v/>
      </c>
      <c r="C394" s="16" t="str">
        <f>Productos!E392</f>
        <v/>
      </c>
      <c r="D394" s="13" t="str">
        <f>Productos!F392</f>
        <v/>
      </c>
      <c r="E394" s="13" t="str">
        <f>Productos!G392</f>
        <v/>
      </c>
      <c r="F394" s="19"/>
      <c r="G394" s="13">
        <f t="shared" si="2"/>
        <v>0</v>
      </c>
      <c r="H394" s="13">
        <f t="shared" si="3"/>
        <v>0</v>
      </c>
      <c r="I394" s="13">
        <f t="shared" si="4"/>
        <v>0</v>
      </c>
      <c r="J394" s="12"/>
      <c r="K394" s="18" t="str">
        <f>IFERROR(VLOOKUP(A394,Proveedores!B392:H605,3,0), "")</f>
        <v/>
      </c>
    </row>
    <row r="395" ht="21.75" customHeight="1">
      <c r="A395" s="16" t="str">
        <f>Productos!B393</f>
        <v/>
      </c>
      <c r="B395" s="16" t="str">
        <f>Productos!C393</f>
        <v/>
      </c>
      <c r="C395" s="16" t="str">
        <f>Productos!E393</f>
        <v/>
      </c>
      <c r="D395" s="13" t="str">
        <f>Productos!F393</f>
        <v/>
      </c>
      <c r="E395" s="13" t="str">
        <f>Productos!G393</f>
        <v/>
      </c>
      <c r="F395" s="19"/>
      <c r="G395" s="13">
        <f t="shared" si="2"/>
        <v>0</v>
      </c>
      <c r="H395" s="13">
        <f t="shared" si="3"/>
        <v>0</v>
      </c>
      <c r="I395" s="13">
        <f t="shared" si="4"/>
        <v>0</v>
      </c>
      <c r="J395" s="12"/>
      <c r="K395" s="18" t="str">
        <f>IFERROR(VLOOKUP(A395,Proveedores!B393:H606,3,0), "")</f>
        <v/>
      </c>
    </row>
    <row r="396" ht="21.75" customHeight="1">
      <c r="A396" s="16" t="str">
        <f>Productos!B394</f>
        <v/>
      </c>
      <c r="B396" s="16" t="str">
        <f>Productos!C394</f>
        <v/>
      </c>
      <c r="C396" s="16" t="str">
        <f>Productos!E394</f>
        <v/>
      </c>
      <c r="D396" s="13" t="str">
        <f>Productos!F394</f>
        <v/>
      </c>
      <c r="E396" s="13" t="str">
        <f>Productos!G394</f>
        <v/>
      </c>
      <c r="F396" s="19"/>
      <c r="G396" s="13">
        <f t="shared" si="2"/>
        <v>0</v>
      </c>
      <c r="H396" s="13">
        <f t="shared" si="3"/>
        <v>0</v>
      </c>
      <c r="I396" s="13">
        <f t="shared" si="4"/>
        <v>0</v>
      </c>
      <c r="J396" s="12"/>
      <c r="K396" s="18" t="str">
        <f>IFERROR(VLOOKUP(A396,Proveedores!B394:H607,3,0), "")</f>
        <v/>
      </c>
    </row>
    <row r="397" ht="21.75" customHeight="1">
      <c r="A397" s="16" t="str">
        <f>Productos!B395</f>
        <v/>
      </c>
      <c r="B397" s="16" t="str">
        <f>Productos!C395</f>
        <v/>
      </c>
      <c r="C397" s="16" t="str">
        <f>Productos!E395</f>
        <v/>
      </c>
      <c r="D397" s="13" t="str">
        <f>Productos!F395</f>
        <v/>
      </c>
      <c r="E397" s="13" t="str">
        <f>Productos!G395</f>
        <v/>
      </c>
      <c r="F397" s="19"/>
      <c r="G397" s="13">
        <f t="shared" si="2"/>
        <v>0</v>
      </c>
      <c r="H397" s="13">
        <f t="shared" si="3"/>
        <v>0</v>
      </c>
      <c r="I397" s="13">
        <f t="shared" si="4"/>
        <v>0</v>
      </c>
      <c r="J397" s="12"/>
      <c r="K397" s="18" t="str">
        <f>IFERROR(VLOOKUP(A397,Proveedores!B395:H608,3,0), "")</f>
        <v/>
      </c>
    </row>
    <row r="398" ht="21.75" customHeight="1">
      <c r="A398" s="16" t="str">
        <f>Productos!B396</f>
        <v/>
      </c>
      <c r="B398" s="16" t="str">
        <f>Productos!C396</f>
        <v/>
      </c>
      <c r="C398" s="16" t="str">
        <f>Productos!E396</f>
        <v/>
      </c>
      <c r="D398" s="13" t="str">
        <f>Productos!F396</f>
        <v/>
      </c>
      <c r="E398" s="13" t="str">
        <f>Productos!G396</f>
        <v/>
      </c>
      <c r="F398" s="19"/>
      <c r="G398" s="13">
        <f t="shared" si="2"/>
        <v>0</v>
      </c>
      <c r="H398" s="13">
        <f t="shared" si="3"/>
        <v>0</v>
      </c>
      <c r="I398" s="13">
        <f t="shared" si="4"/>
        <v>0</v>
      </c>
      <c r="J398" s="12"/>
      <c r="K398" s="18" t="str">
        <f>IFERROR(VLOOKUP(A398,Proveedores!B396:H609,3,0), "")</f>
        <v/>
      </c>
    </row>
    <row r="399" ht="21.75" customHeight="1">
      <c r="A399" s="16" t="str">
        <f>Productos!B397</f>
        <v/>
      </c>
      <c r="B399" s="16" t="str">
        <f>Productos!C397</f>
        <v/>
      </c>
      <c r="C399" s="16" t="str">
        <f>Productos!E397</f>
        <v/>
      </c>
      <c r="D399" s="13" t="str">
        <f>Productos!F397</f>
        <v/>
      </c>
      <c r="E399" s="13" t="str">
        <f>Productos!G397</f>
        <v/>
      </c>
      <c r="F399" s="19"/>
      <c r="G399" s="13">
        <f t="shared" si="2"/>
        <v>0</v>
      </c>
      <c r="H399" s="13">
        <f t="shared" si="3"/>
        <v>0</v>
      </c>
      <c r="I399" s="13">
        <f t="shared" si="4"/>
        <v>0</v>
      </c>
      <c r="J399" s="12"/>
      <c r="K399" s="18" t="str">
        <f>IFERROR(VLOOKUP(A399,Proveedores!B397:H610,3,0), "")</f>
        <v/>
      </c>
    </row>
    <row r="400" ht="21.75" customHeight="1">
      <c r="A400" s="16" t="str">
        <f>Productos!B398</f>
        <v/>
      </c>
      <c r="B400" s="16" t="str">
        <f>Productos!C398</f>
        <v/>
      </c>
      <c r="C400" s="16" t="str">
        <f>Productos!E398</f>
        <v/>
      </c>
      <c r="D400" s="13" t="str">
        <f>Productos!F398</f>
        <v/>
      </c>
      <c r="E400" s="13" t="str">
        <f>Productos!G398</f>
        <v/>
      </c>
      <c r="F400" s="19"/>
      <c r="G400" s="13">
        <f t="shared" si="2"/>
        <v>0</v>
      </c>
      <c r="H400" s="13">
        <f t="shared" si="3"/>
        <v>0</v>
      </c>
      <c r="I400" s="13">
        <f t="shared" si="4"/>
        <v>0</v>
      </c>
      <c r="J400" s="12"/>
      <c r="K400" s="18" t="str">
        <f>IFERROR(VLOOKUP(A400,Proveedores!B398:H611,3,0), "")</f>
        <v/>
      </c>
    </row>
    <row r="401" ht="21.75" customHeight="1">
      <c r="A401" s="16" t="str">
        <f>Productos!B399</f>
        <v/>
      </c>
      <c r="B401" s="16" t="str">
        <f>Productos!C399</f>
        <v/>
      </c>
      <c r="C401" s="16" t="str">
        <f>Productos!E399</f>
        <v/>
      </c>
      <c r="D401" s="13" t="str">
        <f>Productos!F399</f>
        <v/>
      </c>
      <c r="E401" s="13" t="str">
        <f>Productos!G399</f>
        <v/>
      </c>
      <c r="F401" s="19"/>
      <c r="G401" s="13">
        <f t="shared" si="2"/>
        <v>0</v>
      </c>
      <c r="H401" s="13">
        <f t="shared" si="3"/>
        <v>0</v>
      </c>
      <c r="I401" s="13">
        <f t="shared" si="4"/>
        <v>0</v>
      </c>
      <c r="J401" s="12"/>
      <c r="K401" s="18" t="str">
        <f>IFERROR(VLOOKUP(A401,Proveedores!B399:H612,3,0), "")</f>
        <v/>
      </c>
    </row>
    <row r="402" ht="21.75" customHeight="1">
      <c r="A402" s="16" t="str">
        <f>Productos!B400</f>
        <v/>
      </c>
      <c r="B402" s="16" t="str">
        <f>Productos!C400</f>
        <v/>
      </c>
      <c r="C402" s="16" t="str">
        <f>Productos!E400</f>
        <v/>
      </c>
      <c r="D402" s="13" t="str">
        <f>Productos!F400</f>
        <v/>
      </c>
      <c r="E402" s="13" t="str">
        <f>Productos!G400</f>
        <v/>
      </c>
      <c r="F402" s="19"/>
      <c r="G402" s="13">
        <f t="shared" si="2"/>
        <v>0</v>
      </c>
      <c r="H402" s="13">
        <f t="shared" si="3"/>
        <v>0</v>
      </c>
      <c r="I402" s="13">
        <f t="shared" si="4"/>
        <v>0</v>
      </c>
      <c r="J402" s="12"/>
      <c r="K402" s="18" t="str">
        <f>IFERROR(VLOOKUP(A402,Proveedores!B400:H613,3,0), "")</f>
        <v/>
      </c>
    </row>
    <row r="403" ht="21.75" customHeight="1">
      <c r="A403" s="16" t="str">
        <f>Productos!B401</f>
        <v/>
      </c>
      <c r="B403" s="16" t="str">
        <f>Productos!C401</f>
        <v/>
      </c>
      <c r="C403" s="16" t="str">
        <f>Productos!E401</f>
        <v/>
      </c>
      <c r="D403" s="13" t="str">
        <f>Productos!F401</f>
        <v/>
      </c>
      <c r="E403" s="13" t="str">
        <f>Productos!G401</f>
        <v/>
      </c>
      <c r="F403" s="19"/>
      <c r="G403" s="13">
        <f t="shared" si="2"/>
        <v>0</v>
      </c>
      <c r="H403" s="13">
        <f t="shared" si="3"/>
        <v>0</v>
      </c>
      <c r="I403" s="13">
        <f t="shared" si="4"/>
        <v>0</v>
      </c>
      <c r="J403" s="12"/>
      <c r="K403" s="18" t="str">
        <f>IFERROR(VLOOKUP(A403,Proveedores!B401:H614,3,0), "")</f>
        <v/>
      </c>
    </row>
    <row r="404" ht="21.75" customHeight="1">
      <c r="A404" s="16" t="str">
        <f>Productos!B402</f>
        <v/>
      </c>
      <c r="B404" s="16" t="str">
        <f>Productos!C402</f>
        <v/>
      </c>
      <c r="C404" s="16" t="str">
        <f>Productos!E402</f>
        <v/>
      </c>
      <c r="D404" s="13" t="str">
        <f>Productos!F402</f>
        <v/>
      </c>
      <c r="E404" s="13" t="str">
        <f>Productos!G402</f>
        <v/>
      </c>
      <c r="F404" s="19"/>
      <c r="G404" s="13">
        <f t="shared" si="2"/>
        <v>0</v>
      </c>
      <c r="H404" s="13">
        <f t="shared" si="3"/>
        <v>0</v>
      </c>
      <c r="I404" s="13">
        <f t="shared" si="4"/>
        <v>0</v>
      </c>
      <c r="J404" s="12"/>
      <c r="K404" s="18" t="str">
        <f>IFERROR(VLOOKUP(A404,Proveedores!B402:H615,3,0), "")</f>
        <v/>
      </c>
    </row>
    <row r="405" ht="21.75" customHeight="1">
      <c r="A405" s="16" t="str">
        <f>Productos!B403</f>
        <v/>
      </c>
      <c r="B405" s="16" t="str">
        <f>Productos!C403</f>
        <v/>
      </c>
      <c r="C405" s="16" t="str">
        <f>Productos!E403</f>
        <v/>
      </c>
      <c r="D405" s="13" t="str">
        <f>Productos!F403</f>
        <v/>
      </c>
      <c r="E405" s="13" t="str">
        <f>Productos!G403</f>
        <v/>
      </c>
      <c r="F405" s="19"/>
      <c r="G405" s="13">
        <f t="shared" si="2"/>
        <v>0</v>
      </c>
      <c r="H405" s="13">
        <f t="shared" si="3"/>
        <v>0</v>
      </c>
      <c r="I405" s="13">
        <f t="shared" si="4"/>
        <v>0</v>
      </c>
      <c r="J405" s="12"/>
      <c r="K405" s="18" t="str">
        <f>IFERROR(VLOOKUP(A405,Proveedores!B403:H616,3,0), "")</f>
        <v/>
      </c>
    </row>
    <row r="406" ht="21.75" customHeight="1">
      <c r="A406" s="16" t="str">
        <f>Productos!B404</f>
        <v/>
      </c>
      <c r="B406" s="16" t="str">
        <f>Productos!C404</f>
        <v/>
      </c>
      <c r="C406" s="16" t="str">
        <f>Productos!E404</f>
        <v/>
      </c>
      <c r="D406" s="13" t="str">
        <f>Productos!F404</f>
        <v/>
      </c>
      <c r="E406" s="13" t="str">
        <f>Productos!G404</f>
        <v/>
      </c>
      <c r="F406" s="19"/>
      <c r="G406" s="13">
        <f t="shared" si="2"/>
        <v>0</v>
      </c>
      <c r="H406" s="13">
        <f t="shared" si="3"/>
        <v>0</v>
      </c>
      <c r="I406" s="13">
        <f t="shared" si="4"/>
        <v>0</v>
      </c>
      <c r="J406" s="12"/>
      <c r="K406" s="18" t="str">
        <f>IFERROR(VLOOKUP(A406,Proveedores!B404:H617,3,0), "")</f>
        <v/>
      </c>
    </row>
    <row r="407" ht="21.75" customHeight="1">
      <c r="A407" s="16" t="str">
        <f>Productos!B405</f>
        <v/>
      </c>
      <c r="B407" s="16" t="str">
        <f>Productos!C405</f>
        <v/>
      </c>
      <c r="C407" s="16" t="str">
        <f>Productos!E405</f>
        <v/>
      </c>
      <c r="D407" s="13" t="str">
        <f>Productos!F405</f>
        <v/>
      </c>
      <c r="E407" s="13" t="str">
        <f>Productos!G405</f>
        <v/>
      </c>
      <c r="F407" s="19"/>
      <c r="G407" s="13">
        <f t="shared" si="2"/>
        <v>0</v>
      </c>
      <c r="H407" s="13">
        <f t="shared" si="3"/>
        <v>0</v>
      </c>
      <c r="I407" s="13">
        <f t="shared" si="4"/>
        <v>0</v>
      </c>
      <c r="J407" s="12"/>
      <c r="K407" s="18" t="str">
        <f>IFERROR(VLOOKUP(A407,Proveedores!B405:H618,3,0), "")</f>
        <v/>
      </c>
    </row>
    <row r="408" ht="21.75" customHeight="1">
      <c r="A408" s="16" t="str">
        <f>Productos!B406</f>
        <v/>
      </c>
      <c r="B408" s="16" t="str">
        <f>Productos!C406</f>
        <v/>
      </c>
      <c r="C408" s="16" t="str">
        <f>Productos!E406</f>
        <v/>
      </c>
      <c r="D408" s="13" t="str">
        <f>Productos!F406</f>
        <v/>
      </c>
      <c r="E408" s="13" t="str">
        <f>Productos!G406</f>
        <v/>
      </c>
      <c r="F408" s="19"/>
      <c r="G408" s="13">
        <f t="shared" si="2"/>
        <v>0</v>
      </c>
      <c r="H408" s="13">
        <f t="shared" si="3"/>
        <v>0</v>
      </c>
      <c r="I408" s="13">
        <f t="shared" si="4"/>
        <v>0</v>
      </c>
      <c r="J408" s="12"/>
      <c r="K408" s="18" t="str">
        <f>IFERROR(VLOOKUP(A408,Proveedores!B406:H619,3,0), "")</f>
        <v/>
      </c>
    </row>
    <row r="409" ht="21.75" customHeight="1">
      <c r="A409" s="16" t="str">
        <f>Productos!B407</f>
        <v/>
      </c>
      <c r="B409" s="16" t="str">
        <f>Productos!C407</f>
        <v/>
      </c>
      <c r="C409" s="16" t="str">
        <f>Productos!E407</f>
        <v/>
      </c>
      <c r="D409" s="13" t="str">
        <f>Productos!F407</f>
        <v/>
      </c>
      <c r="E409" s="13" t="str">
        <f>Productos!G407</f>
        <v/>
      </c>
      <c r="F409" s="19"/>
      <c r="G409" s="13">
        <f t="shared" si="2"/>
        <v>0</v>
      </c>
      <c r="H409" s="13">
        <f t="shared" si="3"/>
        <v>0</v>
      </c>
      <c r="I409" s="13">
        <f t="shared" si="4"/>
        <v>0</v>
      </c>
      <c r="J409" s="12"/>
      <c r="K409" s="18" t="str">
        <f>IFERROR(VLOOKUP(A409,Proveedores!B407:H620,3,0), "")</f>
        <v/>
      </c>
    </row>
    <row r="410" ht="21.75" customHeight="1">
      <c r="A410" s="16" t="str">
        <f>Productos!B408</f>
        <v/>
      </c>
      <c r="B410" s="16" t="str">
        <f>Productos!C408</f>
        <v/>
      </c>
      <c r="C410" s="16" t="str">
        <f>Productos!E408</f>
        <v/>
      </c>
      <c r="D410" s="13" t="str">
        <f>Productos!F408</f>
        <v/>
      </c>
      <c r="E410" s="13" t="str">
        <f>Productos!G408</f>
        <v/>
      </c>
      <c r="F410" s="19"/>
      <c r="G410" s="13">
        <f t="shared" si="2"/>
        <v>0</v>
      </c>
      <c r="H410" s="13">
        <f t="shared" si="3"/>
        <v>0</v>
      </c>
      <c r="I410" s="13">
        <f t="shared" si="4"/>
        <v>0</v>
      </c>
      <c r="J410" s="12"/>
      <c r="K410" s="18" t="str">
        <f>IFERROR(VLOOKUP(A410,Proveedores!B408:H621,3,0), "")</f>
        <v/>
      </c>
    </row>
    <row r="411" ht="21.75" customHeight="1">
      <c r="A411" s="16" t="str">
        <f>Productos!B409</f>
        <v/>
      </c>
      <c r="B411" s="16" t="str">
        <f>Productos!C409</f>
        <v/>
      </c>
      <c r="C411" s="16" t="str">
        <f>Productos!E409</f>
        <v/>
      </c>
      <c r="D411" s="13" t="str">
        <f>Productos!F409</f>
        <v/>
      </c>
      <c r="E411" s="13" t="str">
        <f>Productos!G409</f>
        <v/>
      </c>
      <c r="F411" s="19"/>
      <c r="G411" s="13">
        <f t="shared" si="2"/>
        <v>0</v>
      </c>
      <c r="H411" s="13">
        <f t="shared" si="3"/>
        <v>0</v>
      </c>
      <c r="I411" s="13">
        <f t="shared" si="4"/>
        <v>0</v>
      </c>
      <c r="J411" s="12"/>
      <c r="K411" s="18" t="str">
        <f>IFERROR(VLOOKUP(A411,Proveedores!B409:H622,3,0), "")</f>
        <v/>
      </c>
    </row>
    <row r="412" ht="21.75" customHeight="1">
      <c r="A412" s="16" t="str">
        <f>Productos!B410</f>
        <v/>
      </c>
      <c r="B412" s="16" t="str">
        <f>Productos!C410</f>
        <v/>
      </c>
      <c r="C412" s="16" t="str">
        <f>Productos!E410</f>
        <v/>
      </c>
      <c r="D412" s="13" t="str">
        <f>Productos!F410</f>
        <v/>
      </c>
      <c r="E412" s="13" t="str">
        <f>Productos!G410</f>
        <v/>
      </c>
      <c r="F412" s="19"/>
      <c r="G412" s="13">
        <f t="shared" si="2"/>
        <v>0</v>
      </c>
      <c r="H412" s="13">
        <f t="shared" si="3"/>
        <v>0</v>
      </c>
      <c r="I412" s="13">
        <f t="shared" si="4"/>
        <v>0</v>
      </c>
      <c r="J412" s="12"/>
      <c r="K412" s="18" t="str">
        <f>IFERROR(VLOOKUP(A412,Proveedores!B410:H623,3,0), "")</f>
        <v/>
      </c>
    </row>
    <row r="413" ht="21.75" customHeight="1">
      <c r="A413" s="16" t="str">
        <f>Productos!B411</f>
        <v/>
      </c>
      <c r="B413" s="16" t="str">
        <f>Productos!C411</f>
        <v/>
      </c>
      <c r="C413" s="16" t="str">
        <f>Productos!E411</f>
        <v/>
      </c>
      <c r="D413" s="13" t="str">
        <f>Productos!F411</f>
        <v/>
      </c>
      <c r="E413" s="13" t="str">
        <f>Productos!G411</f>
        <v/>
      </c>
      <c r="F413" s="19"/>
      <c r="G413" s="13">
        <f t="shared" si="2"/>
        <v>0</v>
      </c>
      <c r="H413" s="13">
        <f t="shared" si="3"/>
        <v>0</v>
      </c>
      <c r="I413" s="13">
        <f t="shared" si="4"/>
        <v>0</v>
      </c>
      <c r="J413" s="12"/>
      <c r="K413" s="18" t="str">
        <f>IFERROR(VLOOKUP(A413,Proveedores!B411:H624,3,0), "")</f>
        <v/>
      </c>
    </row>
    <row r="414" ht="21.75" customHeight="1">
      <c r="A414" s="16" t="str">
        <f>Productos!B412</f>
        <v/>
      </c>
      <c r="B414" s="16" t="str">
        <f>Productos!C412</f>
        <v/>
      </c>
      <c r="C414" s="16" t="str">
        <f>Productos!E412</f>
        <v/>
      </c>
      <c r="D414" s="13" t="str">
        <f>Productos!F412</f>
        <v/>
      </c>
      <c r="E414" s="13" t="str">
        <f>Productos!G412</f>
        <v/>
      </c>
      <c r="F414" s="19"/>
      <c r="G414" s="13">
        <f t="shared" si="2"/>
        <v>0</v>
      </c>
      <c r="H414" s="13">
        <f t="shared" si="3"/>
        <v>0</v>
      </c>
      <c r="I414" s="13">
        <f t="shared" si="4"/>
        <v>0</v>
      </c>
      <c r="J414" s="12"/>
      <c r="K414" s="18" t="str">
        <f>IFERROR(VLOOKUP(A414,Proveedores!B412:H625,3,0), "")</f>
        <v/>
      </c>
    </row>
    <row r="415" ht="21.75" customHeight="1">
      <c r="A415" s="16" t="str">
        <f>Productos!B413</f>
        <v/>
      </c>
      <c r="B415" s="16" t="str">
        <f>Productos!C413</f>
        <v/>
      </c>
      <c r="C415" s="16" t="str">
        <f>Productos!E413</f>
        <v/>
      </c>
      <c r="D415" s="13" t="str">
        <f>Productos!F413</f>
        <v/>
      </c>
      <c r="E415" s="13" t="str">
        <f>Productos!G413</f>
        <v/>
      </c>
      <c r="F415" s="19"/>
      <c r="G415" s="13">
        <f t="shared" si="2"/>
        <v>0</v>
      </c>
      <c r="H415" s="13">
        <f t="shared" si="3"/>
        <v>0</v>
      </c>
      <c r="I415" s="13">
        <f t="shared" si="4"/>
        <v>0</v>
      </c>
      <c r="J415" s="12"/>
      <c r="K415" s="18" t="str">
        <f>IFERROR(VLOOKUP(A415,Proveedores!B413:H626,3,0), "")</f>
        <v/>
      </c>
    </row>
    <row r="416" ht="21.75" customHeight="1">
      <c r="A416" s="16" t="str">
        <f>Productos!B414</f>
        <v/>
      </c>
      <c r="B416" s="16" t="str">
        <f>Productos!C414</f>
        <v/>
      </c>
      <c r="C416" s="16" t="str">
        <f>Productos!E414</f>
        <v/>
      </c>
      <c r="D416" s="13" t="str">
        <f>Productos!F414</f>
        <v/>
      </c>
      <c r="E416" s="13" t="str">
        <f>Productos!G414</f>
        <v/>
      </c>
      <c r="F416" s="19"/>
      <c r="G416" s="13">
        <f t="shared" si="2"/>
        <v>0</v>
      </c>
      <c r="H416" s="13">
        <f t="shared" si="3"/>
        <v>0</v>
      </c>
      <c r="I416" s="13">
        <f t="shared" si="4"/>
        <v>0</v>
      </c>
      <c r="J416" s="12"/>
      <c r="K416" s="18" t="str">
        <f>IFERROR(VLOOKUP(A416,Proveedores!B414:H627,3,0), "")</f>
        <v/>
      </c>
    </row>
    <row r="417" ht="21.75" customHeight="1">
      <c r="A417" s="16" t="str">
        <f>Productos!B415</f>
        <v/>
      </c>
      <c r="B417" s="16" t="str">
        <f>Productos!C415</f>
        <v/>
      </c>
      <c r="C417" s="16" t="str">
        <f>Productos!E415</f>
        <v/>
      </c>
      <c r="D417" s="13" t="str">
        <f>Productos!F415</f>
        <v/>
      </c>
      <c r="E417" s="13" t="str">
        <f>Productos!G415</f>
        <v/>
      </c>
      <c r="F417" s="19"/>
      <c r="G417" s="13">
        <f t="shared" si="2"/>
        <v>0</v>
      </c>
      <c r="H417" s="13">
        <f t="shared" si="3"/>
        <v>0</v>
      </c>
      <c r="I417" s="13">
        <f t="shared" si="4"/>
        <v>0</v>
      </c>
      <c r="J417" s="12"/>
      <c r="K417" s="18" t="str">
        <f>IFERROR(VLOOKUP(A417,Proveedores!B415:H628,3,0), "")</f>
        <v/>
      </c>
    </row>
    <row r="418" ht="21.75" customHeight="1">
      <c r="A418" s="16" t="str">
        <f>Productos!B416</f>
        <v/>
      </c>
      <c r="B418" s="16" t="str">
        <f>Productos!C416</f>
        <v/>
      </c>
      <c r="C418" s="16" t="str">
        <f>Productos!E416</f>
        <v/>
      </c>
      <c r="D418" s="13" t="str">
        <f>Productos!F416</f>
        <v/>
      </c>
      <c r="E418" s="13" t="str">
        <f>Productos!G416</f>
        <v/>
      </c>
      <c r="F418" s="19"/>
      <c r="G418" s="13">
        <f t="shared" si="2"/>
        <v>0</v>
      </c>
      <c r="H418" s="13">
        <f t="shared" si="3"/>
        <v>0</v>
      </c>
      <c r="I418" s="13">
        <f t="shared" si="4"/>
        <v>0</v>
      </c>
      <c r="J418" s="12"/>
      <c r="K418" s="18" t="str">
        <f>IFERROR(VLOOKUP(A418,Proveedores!B416:H629,3,0), "")</f>
        <v/>
      </c>
    </row>
    <row r="419" ht="21.75" customHeight="1">
      <c r="A419" s="16" t="str">
        <f>Productos!B417</f>
        <v/>
      </c>
      <c r="B419" s="16" t="str">
        <f>Productos!C417</f>
        <v/>
      </c>
      <c r="C419" s="16" t="str">
        <f>Productos!E417</f>
        <v/>
      </c>
      <c r="D419" s="13" t="str">
        <f>Productos!F417</f>
        <v/>
      </c>
      <c r="E419" s="13" t="str">
        <f>Productos!G417</f>
        <v/>
      </c>
      <c r="F419" s="19"/>
      <c r="G419" s="13">
        <f t="shared" si="2"/>
        <v>0</v>
      </c>
      <c r="H419" s="13">
        <f t="shared" si="3"/>
        <v>0</v>
      </c>
      <c r="I419" s="13">
        <f t="shared" si="4"/>
        <v>0</v>
      </c>
      <c r="J419" s="12"/>
      <c r="K419" s="18" t="str">
        <f>IFERROR(VLOOKUP(A419,Proveedores!B417:H630,3,0), "")</f>
        <v/>
      </c>
    </row>
    <row r="420" ht="21.75" customHeight="1">
      <c r="A420" s="16" t="str">
        <f>Productos!B418</f>
        <v/>
      </c>
      <c r="B420" s="16" t="str">
        <f>Productos!C418</f>
        <v/>
      </c>
      <c r="C420" s="16" t="str">
        <f>Productos!E418</f>
        <v/>
      </c>
      <c r="D420" s="13" t="str">
        <f>Productos!F418</f>
        <v/>
      </c>
      <c r="E420" s="13" t="str">
        <f>Productos!G418</f>
        <v/>
      </c>
      <c r="F420" s="19"/>
      <c r="G420" s="13">
        <f t="shared" si="2"/>
        <v>0</v>
      </c>
      <c r="H420" s="13">
        <f t="shared" si="3"/>
        <v>0</v>
      </c>
      <c r="I420" s="13">
        <f t="shared" si="4"/>
        <v>0</v>
      </c>
      <c r="J420" s="12"/>
      <c r="K420" s="18" t="str">
        <f>IFERROR(VLOOKUP(A420,Proveedores!B418:H631,3,0), "")</f>
        <v/>
      </c>
    </row>
    <row r="421" ht="21.75" customHeight="1">
      <c r="A421" s="16" t="str">
        <f>Productos!B419</f>
        <v/>
      </c>
      <c r="B421" s="16" t="str">
        <f>Productos!C419</f>
        <v/>
      </c>
      <c r="C421" s="16" t="str">
        <f>Productos!E419</f>
        <v/>
      </c>
      <c r="D421" s="13" t="str">
        <f>Productos!F419</f>
        <v/>
      </c>
      <c r="E421" s="13" t="str">
        <f>Productos!G419</f>
        <v/>
      </c>
      <c r="F421" s="19"/>
      <c r="G421" s="13">
        <f t="shared" si="2"/>
        <v>0</v>
      </c>
      <c r="H421" s="13">
        <f t="shared" si="3"/>
        <v>0</v>
      </c>
      <c r="I421" s="13">
        <f t="shared" si="4"/>
        <v>0</v>
      </c>
      <c r="J421" s="12"/>
      <c r="K421" s="18" t="str">
        <f>IFERROR(VLOOKUP(A421,Proveedores!B419:H632,3,0), "")</f>
        <v/>
      </c>
    </row>
    <row r="422" ht="21.75" customHeight="1">
      <c r="A422" s="16" t="str">
        <f>Productos!B420</f>
        <v/>
      </c>
      <c r="B422" s="16" t="str">
        <f>Productos!C420</f>
        <v/>
      </c>
      <c r="C422" s="16" t="str">
        <f>Productos!E420</f>
        <v/>
      </c>
      <c r="D422" s="13" t="str">
        <f>Productos!F420</f>
        <v/>
      </c>
      <c r="E422" s="13" t="str">
        <f>Productos!G420</f>
        <v/>
      </c>
      <c r="F422" s="19"/>
      <c r="G422" s="13">
        <f t="shared" si="2"/>
        <v>0</v>
      </c>
      <c r="H422" s="13">
        <f t="shared" si="3"/>
        <v>0</v>
      </c>
      <c r="I422" s="13">
        <f t="shared" si="4"/>
        <v>0</v>
      </c>
      <c r="J422" s="12"/>
      <c r="K422" s="18" t="str">
        <f>IFERROR(VLOOKUP(A422,Proveedores!B420:H633,3,0), "")</f>
        <v/>
      </c>
    </row>
    <row r="423" ht="21.75" customHeight="1">
      <c r="A423" s="16" t="str">
        <f>Productos!B421</f>
        <v/>
      </c>
      <c r="B423" s="16" t="str">
        <f>Productos!C421</f>
        <v/>
      </c>
      <c r="C423" s="16" t="str">
        <f>Productos!E421</f>
        <v/>
      </c>
      <c r="D423" s="13" t="str">
        <f>Productos!F421</f>
        <v/>
      </c>
      <c r="E423" s="13" t="str">
        <f>Productos!G421</f>
        <v/>
      </c>
      <c r="F423" s="19"/>
      <c r="G423" s="13">
        <f t="shared" si="2"/>
        <v>0</v>
      </c>
      <c r="H423" s="13">
        <f t="shared" si="3"/>
        <v>0</v>
      </c>
      <c r="I423" s="13">
        <f t="shared" si="4"/>
        <v>0</v>
      </c>
      <c r="J423" s="12"/>
      <c r="K423" s="18" t="str">
        <f>IFERROR(VLOOKUP(A423,Proveedores!B421:H634,3,0), "")</f>
        <v/>
      </c>
    </row>
    <row r="424" ht="21.75" customHeight="1">
      <c r="A424" s="16" t="str">
        <f>Productos!B422</f>
        <v/>
      </c>
      <c r="B424" s="16" t="str">
        <f>Productos!C422</f>
        <v/>
      </c>
      <c r="C424" s="16" t="str">
        <f>Productos!E422</f>
        <v/>
      </c>
      <c r="D424" s="13" t="str">
        <f>Productos!F422</f>
        <v/>
      </c>
      <c r="E424" s="13" t="str">
        <f>Productos!G422</f>
        <v/>
      </c>
      <c r="F424" s="19"/>
      <c r="G424" s="13">
        <f t="shared" si="2"/>
        <v>0</v>
      </c>
      <c r="H424" s="13">
        <f t="shared" si="3"/>
        <v>0</v>
      </c>
      <c r="I424" s="13">
        <f t="shared" si="4"/>
        <v>0</v>
      </c>
      <c r="J424" s="12"/>
      <c r="K424" s="18" t="str">
        <f>IFERROR(VLOOKUP(A424,Proveedores!B422:H635,3,0), "")</f>
        <v/>
      </c>
    </row>
    <row r="425" ht="21.75" customHeight="1">
      <c r="A425" s="16" t="str">
        <f>Productos!B423</f>
        <v/>
      </c>
      <c r="B425" s="16" t="str">
        <f>Productos!C423</f>
        <v/>
      </c>
      <c r="C425" s="16" t="str">
        <f>Productos!E423</f>
        <v/>
      </c>
      <c r="D425" s="13" t="str">
        <f>Productos!F423</f>
        <v/>
      </c>
      <c r="E425" s="13" t="str">
        <f>Productos!G423</f>
        <v/>
      </c>
      <c r="F425" s="19"/>
      <c r="G425" s="13">
        <f t="shared" si="2"/>
        <v>0</v>
      </c>
      <c r="H425" s="13">
        <f t="shared" si="3"/>
        <v>0</v>
      </c>
      <c r="I425" s="13">
        <f t="shared" si="4"/>
        <v>0</v>
      </c>
      <c r="J425" s="12"/>
      <c r="K425" s="18" t="str">
        <f>IFERROR(VLOOKUP(A425,Proveedores!B423:H636,3,0), "")</f>
        <v/>
      </c>
    </row>
    <row r="426" ht="21.75" customHeight="1">
      <c r="A426" s="16" t="str">
        <f>Productos!B424</f>
        <v/>
      </c>
      <c r="B426" s="16" t="str">
        <f>Productos!C424</f>
        <v/>
      </c>
      <c r="C426" s="16" t="str">
        <f>Productos!E424</f>
        <v/>
      </c>
      <c r="D426" s="13" t="str">
        <f>Productos!F424</f>
        <v/>
      </c>
      <c r="E426" s="13" t="str">
        <f>Productos!G424</f>
        <v/>
      </c>
      <c r="F426" s="19"/>
      <c r="G426" s="13">
        <f t="shared" si="2"/>
        <v>0</v>
      </c>
      <c r="H426" s="13">
        <f t="shared" si="3"/>
        <v>0</v>
      </c>
      <c r="I426" s="13">
        <f t="shared" si="4"/>
        <v>0</v>
      </c>
      <c r="J426" s="12"/>
      <c r="K426" s="18" t="str">
        <f>IFERROR(VLOOKUP(A426,Proveedores!B424:H637,3,0), "")</f>
        <v/>
      </c>
    </row>
    <row r="427" ht="21.75" customHeight="1">
      <c r="A427" s="16" t="str">
        <f>Productos!B425</f>
        <v/>
      </c>
      <c r="B427" s="16" t="str">
        <f>Productos!C425</f>
        <v/>
      </c>
      <c r="C427" s="16" t="str">
        <f>Productos!E425</f>
        <v/>
      </c>
      <c r="D427" s="13" t="str">
        <f>Productos!F425</f>
        <v/>
      </c>
      <c r="E427" s="13" t="str">
        <f>Productos!G425</f>
        <v/>
      </c>
      <c r="F427" s="19"/>
      <c r="G427" s="13">
        <f t="shared" si="2"/>
        <v>0</v>
      </c>
      <c r="H427" s="13">
        <f t="shared" si="3"/>
        <v>0</v>
      </c>
      <c r="I427" s="13">
        <f t="shared" si="4"/>
        <v>0</v>
      </c>
      <c r="J427" s="12"/>
      <c r="K427" s="18" t="str">
        <f>IFERROR(VLOOKUP(A427,Proveedores!B425:H638,3,0), "")</f>
        <v/>
      </c>
    </row>
    <row r="428" ht="21.75" customHeight="1">
      <c r="A428" s="16" t="str">
        <f>Productos!B426</f>
        <v/>
      </c>
      <c r="B428" s="16" t="str">
        <f>Productos!C426</f>
        <v/>
      </c>
      <c r="C428" s="16" t="str">
        <f>Productos!E426</f>
        <v/>
      </c>
      <c r="D428" s="13" t="str">
        <f>Productos!F426</f>
        <v/>
      </c>
      <c r="E428" s="13" t="str">
        <f>Productos!G426</f>
        <v/>
      </c>
      <c r="F428" s="19"/>
      <c r="G428" s="13">
        <f t="shared" si="2"/>
        <v>0</v>
      </c>
      <c r="H428" s="13">
        <f t="shared" si="3"/>
        <v>0</v>
      </c>
      <c r="I428" s="13">
        <f t="shared" si="4"/>
        <v>0</v>
      </c>
      <c r="J428" s="12"/>
      <c r="K428" s="18" t="str">
        <f>IFERROR(VLOOKUP(A428,Proveedores!B426:H639,3,0), "")</f>
        <v/>
      </c>
    </row>
    <row r="429" ht="21.75" customHeight="1">
      <c r="A429" s="16" t="str">
        <f>Productos!B427</f>
        <v/>
      </c>
      <c r="B429" s="16" t="str">
        <f>Productos!C427</f>
        <v/>
      </c>
      <c r="C429" s="16" t="str">
        <f>Productos!E427</f>
        <v/>
      </c>
      <c r="D429" s="13" t="str">
        <f>Productos!F427</f>
        <v/>
      </c>
      <c r="E429" s="13" t="str">
        <f>Productos!G427</f>
        <v/>
      </c>
      <c r="F429" s="19"/>
      <c r="G429" s="13">
        <f t="shared" si="2"/>
        <v>0</v>
      </c>
      <c r="H429" s="13">
        <f t="shared" si="3"/>
        <v>0</v>
      </c>
      <c r="I429" s="13">
        <f t="shared" si="4"/>
        <v>0</v>
      </c>
      <c r="J429" s="12"/>
      <c r="K429" s="18" t="str">
        <f>IFERROR(VLOOKUP(A429,Proveedores!B427:H640,3,0), "")</f>
        <v/>
      </c>
    </row>
    <row r="430" ht="21.75" customHeight="1">
      <c r="A430" s="16" t="str">
        <f>Productos!B428</f>
        <v/>
      </c>
      <c r="B430" s="16" t="str">
        <f>Productos!C428</f>
        <v/>
      </c>
      <c r="C430" s="16" t="str">
        <f>Productos!E428</f>
        <v/>
      </c>
      <c r="D430" s="13" t="str">
        <f>Productos!F428</f>
        <v/>
      </c>
      <c r="E430" s="13" t="str">
        <f>Productos!G428</f>
        <v/>
      </c>
      <c r="F430" s="19"/>
      <c r="G430" s="13">
        <f t="shared" si="2"/>
        <v>0</v>
      </c>
      <c r="H430" s="13">
        <f t="shared" si="3"/>
        <v>0</v>
      </c>
      <c r="I430" s="13">
        <f t="shared" si="4"/>
        <v>0</v>
      </c>
      <c r="J430" s="12"/>
      <c r="K430" s="18" t="str">
        <f>IFERROR(VLOOKUP(A430,Proveedores!B428:H641,3,0), "")</f>
        <v/>
      </c>
    </row>
    <row r="431" ht="21.75" customHeight="1">
      <c r="A431" s="16" t="str">
        <f>Productos!B429</f>
        <v/>
      </c>
      <c r="B431" s="16" t="str">
        <f>Productos!C429</f>
        <v/>
      </c>
      <c r="C431" s="16" t="str">
        <f>Productos!E429</f>
        <v/>
      </c>
      <c r="D431" s="13" t="str">
        <f>Productos!F429</f>
        <v/>
      </c>
      <c r="E431" s="13" t="str">
        <f>Productos!G429</f>
        <v/>
      </c>
      <c r="F431" s="19"/>
      <c r="G431" s="13">
        <f t="shared" si="2"/>
        <v>0</v>
      </c>
      <c r="H431" s="13">
        <f t="shared" si="3"/>
        <v>0</v>
      </c>
      <c r="I431" s="13">
        <f t="shared" si="4"/>
        <v>0</v>
      </c>
      <c r="J431" s="12"/>
      <c r="K431" s="18" t="str">
        <f>IFERROR(VLOOKUP(A431,Proveedores!B429:H642,3,0), "")</f>
        <v/>
      </c>
    </row>
    <row r="432" ht="21.75" customHeight="1">
      <c r="A432" s="16" t="str">
        <f>Productos!B430</f>
        <v/>
      </c>
      <c r="B432" s="16" t="str">
        <f>Productos!C430</f>
        <v/>
      </c>
      <c r="C432" s="16" t="str">
        <f>Productos!E430</f>
        <v/>
      </c>
      <c r="D432" s="13" t="str">
        <f>Productos!F430</f>
        <v/>
      </c>
      <c r="E432" s="13" t="str">
        <f>Productos!G430</f>
        <v/>
      </c>
      <c r="F432" s="19"/>
      <c r="G432" s="13">
        <f t="shared" si="2"/>
        <v>0</v>
      </c>
      <c r="H432" s="13">
        <f t="shared" si="3"/>
        <v>0</v>
      </c>
      <c r="I432" s="13">
        <f t="shared" si="4"/>
        <v>0</v>
      </c>
      <c r="J432" s="12"/>
      <c r="K432" s="18" t="str">
        <f>IFERROR(VLOOKUP(A432,Proveedores!B430:H643,3,0), "")</f>
        <v/>
      </c>
    </row>
    <row r="433" ht="21.75" customHeight="1">
      <c r="A433" s="16" t="str">
        <f>Productos!B431</f>
        <v/>
      </c>
      <c r="B433" s="16" t="str">
        <f>Productos!C431</f>
        <v/>
      </c>
      <c r="C433" s="16" t="str">
        <f>Productos!E431</f>
        <v/>
      </c>
      <c r="D433" s="13" t="str">
        <f>Productos!F431</f>
        <v/>
      </c>
      <c r="E433" s="13" t="str">
        <f>Productos!G431</f>
        <v/>
      </c>
      <c r="F433" s="19"/>
      <c r="G433" s="13">
        <f t="shared" si="2"/>
        <v>0</v>
      </c>
      <c r="H433" s="13">
        <f t="shared" si="3"/>
        <v>0</v>
      </c>
      <c r="I433" s="13">
        <f t="shared" si="4"/>
        <v>0</v>
      </c>
      <c r="J433" s="12"/>
      <c r="K433" s="18" t="str">
        <f>IFERROR(VLOOKUP(A433,Proveedores!B431:H644,3,0), "")</f>
        <v/>
      </c>
    </row>
    <row r="434" ht="21.75" customHeight="1">
      <c r="A434" s="16" t="str">
        <f>Productos!B432</f>
        <v/>
      </c>
      <c r="B434" s="16" t="str">
        <f>Productos!C432</f>
        <v/>
      </c>
      <c r="C434" s="16" t="str">
        <f>Productos!E432</f>
        <v/>
      </c>
      <c r="D434" s="13" t="str">
        <f>Productos!F432</f>
        <v/>
      </c>
      <c r="E434" s="13" t="str">
        <f>Productos!G432</f>
        <v/>
      </c>
      <c r="F434" s="19"/>
      <c r="G434" s="13">
        <f t="shared" si="2"/>
        <v>0</v>
      </c>
      <c r="H434" s="13">
        <f t="shared" si="3"/>
        <v>0</v>
      </c>
      <c r="I434" s="13">
        <f t="shared" si="4"/>
        <v>0</v>
      </c>
      <c r="J434" s="12"/>
      <c r="K434" s="18" t="str">
        <f>IFERROR(VLOOKUP(A434,Proveedores!B432:H645,3,0), "")</f>
        <v/>
      </c>
    </row>
    <row r="435" ht="21.75" customHeight="1">
      <c r="A435" s="16" t="str">
        <f>Productos!B433</f>
        <v/>
      </c>
      <c r="B435" s="16" t="str">
        <f>Productos!C433</f>
        <v/>
      </c>
      <c r="C435" s="16" t="str">
        <f>Productos!E433</f>
        <v/>
      </c>
      <c r="D435" s="13" t="str">
        <f>Productos!F433</f>
        <v/>
      </c>
      <c r="E435" s="13" t="str">
        <f>Productos!G433</f>
        <v/>
      </c>
      <c r="F435" s="19"/>
      <c r="G435" s="13">
        <f t="shared" si="2"/>
        <v>0</v>
      </c>
      <c r="H435" s="13">
        <f t="shared" si="3"/>
        <v>0</v>
      </c>
      <c r="I435" s="13">
        <f t="shared" si="4"/>
        <v>0</v>
      </c>
      <c r="J435" s="12"/>
      <c r="K435" s="18" t="str">
        <f>IFERROR(VLOOKUP(A435,Proveedores!B433:H646,3,0), "")</f>
        <v/>
      </c>
    </row>
    <row r="436" ht="21.75" customHeight="1">
      <c r="A436" s="16" t="str">
        <f>Productos!B434</f>
        <v/>
      </c>
      <c r="B436" s="16" t="str">
        <f>Productos!C434</f>
        <v/>
      </c>
      <c r="C436" s="16" t="str">
        <f>Productos!E434</f>
        <v/>
      </c>
      <c r="D436" s="13" t="str">
        <f>Productos!F434</f>
        <v/>
      </c>
      <c r="E436" s="13" t="str">
        <f>Productos!G434</f>
        <v/>
      </c>
      <c r="F436" s="19"/>
      <c r="G436" s="13">
        <f t="shared" si="2"/>
        <v>0</v>
      </c>
      <c r="H436" s="13">
        <f t="shared" si="3"/>
        <v>0</v>
      </c>
      <c r="I436" s="13">
        <f t="shared" si="4"/>
        <v>0</v>
      </c>
      <c r="J436" s="12"/>
      <c r="K436" s="18" t="str">
        <f>IFERROR(VLOOKUP(A436,Proveedores!B434:H647,3,0), "")</f>
        <v/>
      </c>
    </row>
    <row r="437" ht="21.75" customHeight="1">
      <c r="A437" s="16" t="str">
        <f>Productos!B435</f>
        <v/>
      </c>
      <c r="B437" s="16" t="str">
        <f>Productos!C435</f>
        <v/>
      </c>
      <c r="C437" s="16" t="str">
        <f>Productos!E435</f>
        <v/>
      </c>
      <c r="D437" s="13" t="str">
        <f>Productos!F435</f>
        <v/>
      </c>
      <c r="E437" s="13" t="str">
        <f>Productos!G435</f>
        <v/>
      </c>
      <c r="F437" s="19"/>
      <c r="G437" s="13">
        <f t="shared" si="2"/>
        <v>0</v>
      </c>
      <c r="H437" s="13">
        <f t="shared" si="3"/>
        <v>0</v>
      </c>
      <c r="I437" s="13">
        <f t="shared" si="4"/>
        <v>0</v>
      </c>
      <c r="J437" s="12"/>
      <c r="K437" s="18" t="str">
        <f>IFERROR(VLOOKUP(A437,Proveedores!B435:H648,3,0), "")</f>
        <v/>
      </c>
    </row>
    <row r="438" ht="21.75" customHeight="1">
      <c r="A438" s="16" t="str">
        <f>Productos!B436</f>
        <v/>
      </c>
      <c r="B438" s="16" t="str">
        <f>Productos!C436</f>
        <v/>
      </c>
      <c r="C438" s="16" t="str">
        <f>Productos!E436</f>
        <v/>
      </c>
      <c r="D438" s="13" t="str">
        <f>Productos!F436</f>
        <v/>
      </c>
      <c r="E438" s="13" t="str">
        <f>Productos!G436</f>
        <v/>
      </c>
      <c r="F438" s="19"/>
      <c r="G438" s="13">
        <f t="shared" si="2"/>
        <v>0</v>
      </c>
      <c r="H438" s="13">
        <f t="shared" si="3"/>
        <v>0</v>
      </c>
      <c r="I438" s="13">
        <f t="shared" si="4"/>
        <v>0</v>
      </c>
      <c r="J438" s="12"/>
      <c r="K438" s="18" t="str">
        <f>IFERROR(VLOOKUP(A438,Proveedores!B436:H649,3,0), "")</f>
        <v/>
      </c>
    </row>
    <row r="439" ht="21.75" customHeight="1">
      <c r="A439" s="16" t="str">
        <f>Productos!B437</f>
        <v/>
      </c>
      <c r="B439" s="16" t="str">
        <f>Productos!C437</f>
        <v/>
      </c>
      <c r="C439" s="16" t="str">
        <f>Productos!E437</f>
        <v/>
      </c>
      <c r="D439" s="13" t="str">
        <f>Productos!F437</f>
        <v/>
      </c>
      <c r="E439" s="13" t="str">
        <f>Productos!G437</f>
        <v/>
      </c>
      <c r="F439" s="19"/>
      <c r="G439" s="13">
        <f t="shared" si="2"/>
        <v>0</v>
      </c>
      <c r="H439" s="13">
        <f t="shared" si="3"/>
        <v>0</v>
      </c>
      <c r="I439" s="13">
        <f t="shared" si="4"/>
        <v>0</v>
      </c>
      <c r="J439" s="12"/>
      <c r="K439" s="18" t="str">
        <f>IFERROR(VLOOKUP(A439,Proveedores!B437:H650,3,0), "")</f>
        <v/>
      </c>
    </row>
    <row r="440" ht="21.75" customHeight="1">
      <c r="A440" s="16" t="str">
        <f>Productos!B438</f>
        <v/>
      </c>
      <c r="B440" s="16" t="str">
        <f>Productos!C438</f>
        <v/>
      </c>
      <c r="C440" s="16" t="str">
        <f>Productos!E438</f>
        <v/>
      </c>
      <c r="D440" s="13" t="str">
        <f>Productos!F438</f>
        <v/>
      </c>
      <c r="E440" s="13" t="str">
        <f>Productos!G438</f>
        <v/>
      </c>
      <c r="F440" s="19"/>
      <c r="G440" s="13">
        <f t="shared" si="2"/>
        <v>0</v>
      </c>
      <c r="H440" s="13">
        <f t="shared" si="3"/>
        <v>0</v>
      </c>
      <c r="I440" s="13">
        <f t="shared" si="4"/>
        <v>0</v>
      </c>
      <c r="J440" s="12"/>
      <c r="K440" s="18" t="str">
        <f>IFERROR(VLOOKUP(A440,Proveedores!B438:H651,3,0), "")</f>
        <v/>
      </c>
    </row>
    <row r="441" ht="21.75" customHeight="1">
      <c r="A441" s="16" t="str">
        <f>Productos!B439</f>
        <v/>
      </c>
      <c r="B441" s="16" t="str">
        <f>Productos!C439</f>
        <v/>
      </c>
      <c r="C441" s="16" t="str">
        <f>Productos!E439</f>
        <v/>
      </c>
      <c r="D441" s="13" t="str">
        <f>Productos!F439</f>
        <v/>
      </c>
      <c r="E441" s="13" t="str">
        <f>Productos!G439</f>
        <v/>
      </c>
      <c r="F441" s="19"/>
      <c r="G441" s="13">
        <f t="shared" si="2"/>
        <v>0</v>
      </c>
      <c r="H441" s="13">
        <f t="shared" si="3"/>
        <v>0</v>
      </c>
      <c r="I441" s="13">
        <f t="shared" si="4"/>
        <v>0</v>
      </c>
      <c r="J441" s="12"/>
      <c r="K441" s="18" t="str">
        <f>IFERROR(VLOOKUP(A441,Proveedores!B439:H652,3,0), "")</f>
        <v/>
      </c>
    </row>
    <row r="442" ht="21.75" customHeight="1">
      <c r="A442" s="16" t="str">
        <f>Productos!B440</f>
        <v/>
      </c>
      <c r="B442" s="16" t="str">
        <f>Productos!C440</f>
        <v/>
      </c>
      <c r="C442" s="16" t="str">
        <f>Productos!E440</f>
        <v/>
      </c>
      <c r="D442" s="13" t="str">
        <f>Productos!F440</f>
        <v/>
      </c>
      <c r="E442" s="13" t="str">
        <f>Productos!G440</f>
        <v/>
      </c>
      <c r="F442" s="19"/>
      <c r="G442" s="13">
        <f t="shared" si="2"/>
        <v>0</v>
      </c>
      <c r="H442" s="13">
        <f t="shared" si="3"/>
        <v>0</v>
      </c>
      <c r="I442" s="13">
        <f t="shared" si="4"/>
        <v>0</v>
      </c>
      <c r="J442" s="12"/>
      <c r="K442" s="18" t="str">
        <f>IFERROR(VLOOKUP(A442,Proveedores!B440:H653,3,0), "")</f>
        <v/>
      </c>
    </row>
    <row r="443" ht="21.75" customHeight="1">
      <c r="A443" s="16" t="str">
        <f>Productos!B441</f>
        <v/>
      </c>
      <c r="B443" s="16" t="str">
        <f>Productos!C441</f>
        <v/>
      </c>
      <c r="C443" s="16" t="str">
        <f>Productos!E441</f>
        <v/>
      </c>
      <c r="D443" s="13" t="str">
        <f>Productos!F441</f>
        <v/>
      </c>
      <c r="E443" s="13" t="str">
        <f>Productos!G441</f>
        <v/>
      </c>
      <c r="F443" s="19"/>
      <c r="G443" s="13">
        <f t="shared" si="2"/>
        <v>0</v>
      </c>
      <c r="H443" s="13">
        <f t="shared" si="3"/>
        <v>0</v>
      </c>
      <c r="I443" s="13">
        <f t="shared" si="4"/>
        <v>0</v>
      </c>
      <c r="J443" s="12"/>
      <c r="K443" s="18" t="str">
        <f>IFERROR(VLOOKUP(A443,Proveedores!B441:H654,3,0), "")</f>
        <v/>
      </c>
    </row>
    <row r="444" ht="21.75" customHeight="1">
      <c r="A444" s="16" t="str">
        <f>Productos!B442</f>
        <v/>
      </c>
      <c r="B444" s="16" t="str">
        <f>Productos!C442</f>
        <v/>
      </c>
      <c r="C444" s="16" t="str">
        <f>Productos!E442</f>
        <v/>
      </c>
      <c r="D444" s="13" t="str">
        <f>Productos!F442</f>
        <v/>
      </c>
      <c r="E444" s="13" t="str">
        <f>Productos!G442</f>
        <v/>
      </c>
      <c r="F444" s="19"/>
      <c r="G444" s="13">
        <f t="shared" si="2"/>
        <v>0</v>
      </c>
      <c r="H444" s="13">
        <f t="shared" si="3"/>
        <v>0</v>
      </c>
      <c r="I444" s="13">
        <f t="shared" si="4"/>
        <v>0</v>
      </c>
      <c r="J444" s="12"/>
      <c r="K444" s="18" t="str">
        <f>IFERROR(VLOOKUP(A444,Proveedores!B442:H655,3,0), "")</f>
        <v/>
      </c>
    </row>
    <row r="445" ht="21.75" customHeight="1">
      <c r="A445" s="16" t="str">
        <f>Productos!B443</f>
        <v/>
      </c>
      <c r="B445" s="16" t="str">
        <f>Productos!C443</f>
        <v/>
      </c>
      <c r="C445" s="16" t="str">
        <f>Productos!E443</f>
        <v/>
      </c>
      <c r="D445" s="13" t="str">
        <f>Productos!F443</f>
        <v/>
      </c>
      <c r="E445" s="13" t="str">
        <f>Productos!G443</f>
        <v/>
      </c>
      <c r="F445" s="19"/>
      <c r="G445" s="13">
        <f t="shared" si="2"/>
        <v>0</v>
      </c>
      <c r="H445" s="13">
        <f t="shared" si="3"/>
        <v>0</v>
      </c>
      <c r="I445" s="13">
        <f t="shared" si="4"/>
        <v>0</v>
      </c>
      <c r="J445" s="12"/>
      <c r="K445" s="18" t="str">
        <f>IFERROR(VLOOKUP(A445,Proveedores!B443:H656,3,0), "")</f>
        <v/>
      </c>
    </row>
    <row r="446" ht="21.75" customHeight="1">
      <c r="A446" s="16" t="str">
        <f>Productos!B444</f>
        <v/>
      </c>
      <c r="B446" s="16" t="str">
        <f>Productos!C444</f>
        <v/>
      </c>
      <c r="C446" s="16" t="str">
        <f>Productos!E444</f>
        <v/>
      </c>
      <c r="D446" s="13" t="str">
        <f>Productos!F444</f>
        <v/>
      </c>
      <c r="E446" s="13" t="str">
        <f>Productos!G444</f>
        <v/>
      </c>
      <c r="F446" s="19"/>
      <c r="G446" s="13">
        <f t="shared" si="2"/>
        <v>0</v>
      </c>
      <c r="H446" s="13">
        <f t="shared" si="3"/>
        <v>0</v>
      </c>
      <c r="I446" s="13">
        <f t="shared" si="4"/>
        <v>0</v>
      </c>
      <c r="J446" s="12"/>
      <c r="K446" s="18" t="str">
        <f>IFERROR(VLOOKUP(A446,Proveedores!B444:H657,3,0), "")</f>
        <v/>
      </c>
    </row>
    <row r="447" ht="21.75" customHeight="1">
      <c r="A447" s="16" t="str">
        <f>Productos!B445</f>
        <v/>
      </c>
      <c r="B447" s="16" t="str">
        <f>Productos!C445</f>
        <v/>
      </c>
      <c r="C447" s="16" t="str">
        <f>Productos!E445</f>
        <v/>
      </c>
      <c r="D447" s="13" t="str">
        <f>Productos!F445</f>
        <v/>
      </c>
      <c r="E447" s="13" t="str">
        <f>Productos!G445</f>
        <v/>
      </c>
      <c r="F447" s="19"/>
      <c r="G447" s="13">
        <f t="shared" si="2"/>
        <v>0</v>
      </c>
      <c r="H447" s="13">
        <f t="shared" si="3"/>
        <v>0</v>
      </c>
      <c r="I447" s="13">
        <f t="shared" si="4"/>
        <v>0</v>
      </c>
      <c r="J447" s="12"/>
      <c r="K447" s="18" t="str">
        <f>IFERROR(VLOOKUP(A447,Proveedores!B445:H658,3,0), "")</f>
        <v/>
      </c>
    </row>
    <row r="448" ht="21.75" customHeight="1">
      <c r="A448" s="16" t="str">
        <f>Productos!B446</f>
        <v/>
      </c>
      <c r="B448" s="16" t="str">
        <f>Productos!C446</f>
        <v/>
      </c>
      <c r="C448" s="16" t="str">
        <f>Productos!E446</f>
        <v/>
      </c>
      <c r="D448" s="13" t="str">
        <f>Productos!F446</f>
        <v/>
      </c>
      <c r="E448" s="13" t="str">
        <f>Productos!G446</f>
        <v/>
      </c>
      <c r="F448" s="19"/>
      <c r="G448" s="13">
        <f t="shared" si="2"/>
        <v>0</v>
      </c>
      <c r="H448" s="13">
        <f t="shared" si="3"/>
        <v>0</v>
      </c>
      <c r="I448" s="13">
        <f t="shared" si="4"/>
        <v>0</v>
      </c>
      <c r="J448" s="12"/>
      <c r="K448" s="18" t="str">
        <f>IFERROR(VLOOKUP(A448,Proveedores!B446:H659,3,0), "")</f>
        <v/>
      </c>
    </row>
    <row r="449" ht="21.75" customHeight="1">
      <c r="A449" s="16" t="str">
        <f>Productos!B447</f>
        <v/>
      </c>
      <c r="B449" s="16" t="str">
        <f>Productos!C447</f>
        <v/>
      </c>
      <c r="C449" s="16" t="str">
        <f>Productos!E447</f>
        <v/>
      </c>
      <c r="D449" s="13" t="str">
        <f>Productos!F447</f>
        <v/>
      </c>
      <c r="E449" s="13" t="str">
        <f>Productos!G447</f>
        <v/>
      </c>
      <c r="F449" s="19"/>
      <c r="G449" s="13">
        <f t="shared" si="2"/>
        <v>0</v>
      </c>
      <c r="H449" s="13">
        <f t="shared" si="3"/>
        <v>0</v>
      </c>
      <c r="I449" s="13">
        <f t="shared" si="4"/>
        <v>0</v>
      </c>
      <c r="J449" s="12"/>
      <c r="K449" s="18" t="str">
        <f>IFERROR(VLOOKUP(A449,Proveedores!B447:H660,3,0), "")</f>
        <v/>
      </c>
    </row>
    <row r="450" ht="21.75" customHeight="1">
      <c r="A450" s="16" t="str">
        <f>Productos!B448</f>
        <v/>
      </c>
      <c r="B450" s="16" t="str">
        <f>Productos!C448</f>
        <v/>
      </c>
      <c r="C450" s="16" t="str">
        <f>Productos!E448</f>
        <v/>
      </c>
      <c r="D450" s="13" t="str">
        <f>Productos!F448</f>
        <v/>
      </c>
      <c r="E450" s="13" t="str">
        <f>Productos!G448</f>
        <v/>
      </c>
      <c r="F450" s="19"/>
      <c r="G450" s="13">
        <f t="shared" si="2"/>
        <v>0</v>
      </c>
      <c r="H450" s="13">
        <f t="shared" si="3"/>
        <v>0</v>
      </c>
      <c r="I450" s="13">
        <f t="shared" si="4"/>
        <v>0</v>
      </c>
      <c r="J450" s="12"/>
      <c r="K450" s="18" t="str">
        <f>IFERROR(VLOOKUP(A450,Proveedores!B448:H661,3,0), "")</f>
        <v/>
      </c>
    </row>
    <row r="451" ht="21.75" customHeight="1">
      <c r="A451" s="16" t="str">
        <f>Productos!B449</f>
        <v/>
      </c>
      <c r="B451" s="16" t="str">
        <f>Productos!C449</f>
        <v/>
      </c>
      <c r="C451" s="16" t="str">
        <f>Productos!E449</f>
        <v/>
      </c>
      <c r="D451" s="13" t="str">
        <f>Productos!F449</f>
        <v/>
      </c>
      <c r="E451" s="13" t="str">
        <f>Productos!G449</f>
        <v/>
      </c>
      <c r="F451" s="19"/>
      <c r="G451" s="13">
        <f t="shared" si="2"/>
        <v>0</v>
      </c>
      <c r="H451" s="13">
        <f t="shared" si="3"/>
        <v>0</v>
      </c>
      <c r="I451" s="13">
        <f t="shared" si="4"/>
        <v>0</v>
      </c>
      <c r="J451" s="12"/>
      <c r="K451" s="18" t="str">
        <f>IFERROR(VLOOKUP(A451,Proveedores!B449:H662,3,0), "")</f>
        <v/>
      </c>
    </row>
    <row r="452" ht="21.75" customHeight="1">
      <c r="A452" s="16" t="str">
        <f>Productos!B450</f>
        <v/>
      </c>
      <c r="B452" s="16" t="str">
        <f>Productos!C450</f>
        <v/>
      </c>
      <c r="C452" s="16" t="str">
        <f>Productos!E450</f>
        <v/>
      </c>
      <c r="D452" s="13" t="str">
        <f>Productos!F450</f>
        <v/>
      </c>
      <c r="E452" s="13" t="str">
        <f>Productos!G450</f>
        <v/>
      </c>
      <c r="F452" s="19"/>
      <c r="G452" s="13">
        <f t="shared" si="2"/>
        <v>0</v>
      </c>
      <c r="H452" s="13">
        <f t="shared" si="3"/>
        <v>0</v>
      </c>
      <c r="I452" s="13">
        <f t="shared" si="4"/>
        <v>0</v>
      </c>
      <c r="J452" s="12"/>
      <c r="K452" s="18" t="str">
        <f>IFERROR(VLOOKUP(A452,Proveedores!B450:H663,3,0), "")</f>
        <v/>
      </c>
    </row>
    <row r="453" ht="21.75" customHeight="1">
      <c r="A453" s="16" t="str">
        <f>Productos!B451</f>
        <v/>
      </c>
      <c r="B453" s="16" t="str">
        <f>Productos!C451</f>
        <v/>
      </c>
      <c r="C453" s="16" t="str">
        <f>Productos!E451</f>
        <v/>
      </c>
      <c r="D453" s="13" t="str">
        <f>Productos!F451</f>
        <v/>
      </c>
      <c r="E453" s="13" t="str">
        <f>Productos!G451</f>
        <v/>
      </c>
      <c r="F453" s="19"/>
      <c r="G453" s="13">
        <f t="shared" si="2"/>
        <v>0</v>
      </c>
      <c r="H453" s="13">
        <f t="shared" si="3"/>
        <v>0</v>
      </c>
      <c r="I453" s="13">
        <f t="shared" si="4"/>
        <v>0</v>
      </c>
      <c r="J453" s="12"/>
      <c r="K453" s="18" t="str">
        <f>IFERROR(VLOOKUP(A453,Proveedores!B451:H664,3,0), "")</f>
        <v/>
      </c>
    </row>
    <row r="454" ht="21.75" customHeight="1">
      <c r="A454" s="16" t="str">
        <f>Productos!B452</f>
        <v/>
      </c>
      <c r="B454" s="16" t="str">
        <f>Productos!C452</f>
        <v/>
      </c>
      <c r="C454" s="16" t="str">
        <f>Productos!E452</f>
        <v/>
      </c>
      <c r="D454" s="13" t="str">
        <f>Productos!F452</f>
        <v/>
      </c>
      <c r="E454" s="13" t="str">
        <f>Productos!G452</f>
        <v/>
      </c>
      <c r="F454" s="19"/>
      <c r="G454" s="13">
        <f t="shared" si="2"/>
        <v>0</v>
      </c>
      <c r="H454" s="13">
        <f t="shared" si="3"/>
        <v>0</v>
      </c>
      <c r="I454" s="13">
        <f t="shared" si="4"/>
        <v>0</v>
      </c>
      <c r="J454" s="12"/>
      <c r="K454" s="18" t="str">
        <f>IFERROR(VLOOKUP(A454,Proveedores!B452:H665,3,0), "")</f>
        <v/>
      </c>
    </row>
    <row r="455" ht="21.75" customHeight="1">
      <c r="A455" s="16" t="str">
        <f>Productos!B453</f>
        <v/>
      </c>
      <c r="B455" s="16" t="str">
        <f>Productos!C453</f>
        <v/>
      </c>
      <c r="C455" s="16" t="str">
        <f>Productos!E453</f>
        <v/>
      </c>
      <c r="D455" s="13" t="str">
        <f>Productos!F453</f>
        <v/>
      </c>
      <c r="E455" s="13" t="str">
        <f>Productos!G453</f>
        <v/>
      </c>
      <c r="F455" s="19"/>
      <c r="G455" s="13">
        <f t="shared" si="2"/>
        <v>0</v>
      </c>
      <c r="H455" s="13">
        <f t="shared" si="3"/>
        <v>0</v>
      </c>
      <c r="I455" s="13">
        <f t="shared" si="4"/>
        <v>0</v>
      </c>
      <c r="J455" s="12"/>
      <c r="K455" s="18" t="str">
        <f>IFERROR(VLOOKUP(A455,Proveedores!B453:H666,3,0), "")</f>
        <v/>
      </c>
    </row>
    <row r="456" ht="21.75" customHeight="1">
      <c r="A456" s="16" t="str">
        <f>Productos!B454</f>
        <v/>
      </c>
      <c r="B456" s="16" t="str">
        <f>Productos!C454</f>
        <v/>
      </c>
      <c r="C456" s="16" t="str">
        <f>Productos!E454</f>
        <v/>
      </c>
      <c r="D456" s="13" t="str">
        <f>Productos!F454</f>
        <v/>
      </c>
      <c r="E456" s="13" t="str">
        <f>Productos!G454</f>
        <v/>
      </c>
      <c r="F456" s="19"/>
      <c r="G456" s="13">
        <f t="shared" si="2"/>
        <v>0</v>
      </c>
      <c r="H456" s="13">
        <f t="shared" si="3"/>
        <v>0</v>
      </c>
      <c r="I456" s="13">
        <f t="shared" si="4"/>
        <v>0</v>
      </c>
      <c r="J456" s="12"/>
      <c r="K456" s="18" t="str">
        <f>IFERROR(VLOOKUP(A456,Proveedores!B454:H667,3,0), "")</f>
        <v/>
      </c>
    </row>
    <row r="457" ht="21.75" customHeight="1">
      <c r="A457" s="16" t="str">
        <f>Productos!B455</f>
        <v/>
      </c>
      <c r="B457" s="16" t="str">
        <f>Productos!C455</f>
        <v/>
      </c>
      <c r="C457" s="16" t="str">
        <f>Productos!E455</f>
        <v/>
      </c>
      <c r="D457" s="13" t="str">
        <f>Productos!F455</f>
        <v/>
      </c>
      <c r="E457" s="13" t="str">
        <f>Productos!G455</f>
        <v/>
      </c>
      <c r="F457" s="19"/>
      <c r="G457" s="13">
        <f t="shared" si="2"/>
        <v>0</v>
      </c>
      <c r="H457" s="13">
        <f t="shared" si="3"/>
        <v>0</v>
      </c>
      <c r="I457" s="13">
        <f t="shared" si="4"/>
        <v>0</v>
      </c>
      <c r="J457" s="12"/>
      <c r="K457" s="18" t="str">
        <f>IFERROR(VLOOKUP(A457,Proveedores!B455:H668,3,0), "")</f>
        <v/>
      </c>
    </row>
    <row r="458" ht="21.75" customHeight="1">
      <c r="A458" s="16" t="str">
        <f>Productos!B456</f>
        <v/>
      </c>
      <c r="B458" s="16" t="str">
        <f>Productos!C456</f>
        <v/>
      </c>
      <c r="C458" s="16" t="str">
        <f>Productos!E456</f>
        <v/>
      </c>
      <c r="D458" s="13" t="str">
        <f>Productos!F456</f>
        <v/>
      </c>
      <c r="E458" s="13" t="str">
        <f>Productos!G456</f>
        <v/>
      </c>
      <c r="F458" s="19"/>
      <c r="G458" s="13">
        <f t="shared" si="2"/>
        <v>0</v>
      </c>
      <c r="H458" s="13">
        <f t="shared" si="3"/>
        <v>0</v>
      </c>
      <c r="I458" s="13">
        <f t="shared" si="4"/>
        <v>0</v>
      </c>
      <c r="J458" s="12"/>
      <c r="K458" s="18" t="str">
        <f>IFERROR(VLOOKUP(A458,Proveedores!B456:H669,3,0), "")</f>
        <v/>
      </c>
    </row>
    <row r="459" ht="21.75" customHeight="1">
      <c r="A459" s="16" t="str">
        <f>Productos!B457</f>
        <v/>
      </c>
      <c r="B459" s="16" t="str">
        <f>Productos!C457</f>
        <v/>
      </c>
      <c r="C459" s="16" t="str">
        <f>Productos!E457</f>
        <v/>
      </c>
      <c r="D459" s="13" t="str">
        <f>Productos!F457</f>
        <v/>
      </c>
      <c r="E459" s="13" t="str">
        <f>Productos!G457</f>
        <v/>
      </c>
      <c r="F459" s="19"/>
      <c r="G459" s="13">
        <f t="shared" si="2"/>
        <v>0</v>
      </c>
      <c r="H459" s="13">
        <f t="shared" si="3"/>
        <v>0</v>
      </c>
      <c r="I459" s="13">
        <f t="shared" si="4"/>
        <v>0</v>
      </c>
      <c r="J459" s="12"/>
      <c r="K459" s="18" t="str">
        <f>IFERROR(VLOOKUP(A459,Proveedores!B457:H670,3,0), "")</f>
        <v/>
      </c>
    </row>
    <row r="460" ht="21.75" customHeight="1">
      <c r="A460" s="16" t="str">
        <f>Productos!B458</f>
        <v/>
      </c>
      <c r="B460" s="16" t="str">
        <f>Productos!C458</f>
        <v/>
      </c>
      <c r="C460" s="16" t="str">
        <f>Productos!E458</f>
        <v/>
      </c>
      <c r="D460" s="13" t="str">
        <f>Productos!F458</f>
        <v/>
      </c>
      <c r="E460" s="13" t="str">
        <f>Productos!G458</f>
        <v/>
      </c>
      <c r="F460" s="19"/>
      <c r="G460" s="13">
        <f t="shared" si="2"/>
        <v>0</v>
      </c>
      <c r="H460" s="13">
        <f t="shared" si="3"/>
        <v>0</v>
      </c>
      <c r="I460" s="13">
        <f t="shared" si="4"/>
        <v>0</v>
      </c>
      <c r="J460" s="12"/>
      <c r="K460" s="18" t="str">
        <f>IFERROR(VLOOKUP(A460,Proveedores!B458:H671,3,0), "")</f>
        <v/>
      </c>
    </row>
    <row r="461" ht="21.75" customHeight="1">
      <c r="A461" s="16" t="str">
        <f>Productos!B459</f>
        <v/>
      </c>
      <c r="B461" s="16" t="str">
        <f>Productos!C459</f>
        <v/>
      </c>
      <c r="C461" s="16" t="str">
        <f>Productos!E459</f>
        <v/>
      </c>
      <c r="D461" s="13" t="str">
        <f>Productos!F459</f>
        <v/>
      </c>
      <c r="E461" s="13" t="str">
        <f>Productos!G459</f>
        <v/>
      </c>
      <c r="F461" s="19"/>
      <c r="G461" s="13">
        <f t="shared" si="2"/>
        <v>0</v>
      </c>
      <c r="H461" s="13">
        <f t="shared" si="3"/>
        <v>0</v>
      </c>
      <c r="I461" s="13">
        <f t="shared" si="4"/>
        <v>0</v>
      </c>
      <c r="J461" s="12"/>
      <c r="K461" s="18" t="str">
        <f>IFERROR(VLOOKUP(A461,Proveedores!B459:H672,3,0), "")</f>
        <v/>
      </c>
    </row>
    <row r="462" ht="21.75" customHeight="1">
      <c r="A462" s="16" t="str">
        <f>Productos!B460</f>
        <v/>
      </c>
      <c r="B462" s="16" t="str">
        <f>Productos!C460</f>
        <v/>
      </c>
      <c r="C462" s="16" t="str">
        <f>Productos!E460</f>
        <v/>
      </c>
      <c r="D462" s="13" t="str">
        <f>Productos!F460</f>
        <v/>
      </c>
      <c r="E462" s="13" t="str">
        <f>Productos!G460</f>
        <v/>
      </c>
      <c r="F462" s="19"/>
      <c r="G462" s="13">
        <f t="shared" si="2"/>
        <v>0</v>
      </c>
      <c r="H462" s="13">
        <f t="shared" si="3"/>
        <v>0</v>
      </c>
      <c r="I462" s="13">
        <f t="shared" si="4"/>
        <v>0</v>
      </c>
      <c r="J462" s="12"/>
      <c r="K462" s="18" t="str">
        <f>IFERROR(VLOOKUP(A462,Proveedores!B460:H673,3,0), "")</f>
        <v/>
      </c>
    </row>
    <row r="463" ht="21.75" customHeight="1">
      <c r="A463" s="16" t="str">
        <f>Productos!B461</f>
        <v/>
      </c>
      <c r="B463" s="16" t="str">
        <f>Productos!C461</f>
        <v/>
      </c>
      <c r="C463" s="16" t="str">
        <f>Productos!E461</f>
        <v/>
      </c>
      <c r="D463" s="13" t="str">
        <f>Productos!F461</f>
        <v/>
      </c>
      <c r="E463" s="13" t="str">
        <f>Productos!G461</f>
        <v/>
      </c>
      <c r="F463" s="19"/>
      <c r="G463" s="13">
        <f t="shared" si="2"/>
        <v>0</v>
      </c>
      <c r="H463" s="13">
        <f t="shared" si="3"/>
        <v>0</v>
      </c>
      <c r="I463" s="13">
        <f t="shared" si="4"/>
        <v>0</v>
      </c>
      <c r="J463" s="12"/>
      <c r="K463" s="18" t="str">
        <f>IFERROR(VLOOKUP(A463,Proveedores!B461:H674,3,0), "")</f>
        <v/>
      </c>
    </row>
    <row r="464" ht="21.75" customHeight="1">
      <c r="A464" s="16" t="str">
        <f>Productos!B462</f>
        <v/>
      </c>
      <c r="B464" s="16" t="str">
        <f>Productos!C462</f>
        <v/>
      </c>
      <c r="C464" s="16" t="str">
        <f>Productos!E462</f>
        <v/>
      </c>
      <c r="D464" s="13" t="str">
        <f>Productos!F462</f>
        <v/>
      </c>
      <c r="E464" s="13" t="str">
        <f>Productos!G462</f>
        <v/>
      </c>
      <c r="F464" s="19"/>
      <c r="G464" s="13">
        <f t="shared" si="2"/>
        <v>0</v>
      </c>
      <c r="H464" s="13">
        <f t="shared" si="3"/>
        <v>0</v>
      </c>
      <c r="I464" s="13">
        <f t="shared" si="4"/>
        <v>0</v>
      </c>
      <c r="J464" s="12"/>
      <c r="K464" s="18" t="str">
        <f>IFERROR(VLOOKUP(A464,Proveedores!B462:H675,3,0), "")</f>
        <v/>
      </c>
    </row>
    <row r="465" ht="21.75" customHeight="1">
      <c r="A465" s="16" t="str">
        <f>Productos!B463</f>
        <v/>
      </c>
      <c r="B465" s="16" t="str">
        <f>Productos!C463</f>
        <v/>
      </c>
      <c r="C465" s="16" t="str">
        <f>Productos!E463</f>
        <v/>
      </c>
      <c r="D465" s="13" t="str">
        <f>Productos!F463</f>
        <v/>
      </c>
      <c r="E465" s="13" t="str">
        <f>Productos!G463</f>
        <v/>
      </c>
      <c r="F465" s="19"/>
      <c r="G465" s="13">
        <f t="shared" si="2"/>
        <v>0</v>
      </c>
      <c r="H465" s="13">
        <f t="shared" si="3"/>
        <v>0</v>
      </c>
      <c r="I465" s="13">
        <f t="shared" si="4"/>
        <v>0</v>
      </c>
      <c r="J465" s="12"/>
      <c r="K465" s="18" t="str">
        <f>IFERROR(VLOOKUP(A465,Proveedores!B463:H676,3,0), "")</f>
        <v/>
      </c>
    </row>
    <row r="466" ht="21.75" customHeight="1">
      <c r="A466" s="16" t="str">
        <f>Productos!B464</f>
        <v/>
      </c>
      <c r="B466" s="16" t="str">
        <f>Productos!C464</f>
        <v/>
      </c>
      <c r="C466" s="16" t="str">
        <f>Productos!E464</f>
        <v/>
      </c>
      <c r="D466" s="13" t="str">
        <f>Productos!F464</f>
        <v/>
      </c>
      <c r="E466" s="13" t="str">
        <f>Productos!G464</f>
        <v/>
      </c>
      <c r="F466" s="19"/>
      <c r="G466" s="13">
        <f t="shared" si="2"/>
        <v>0</v>
      </c>
      <c r="H466" s="13">
        <f t="shared" si="3"/>
        <v>0</v>
      </c>
      <c r="I466" s="13">
        <f t="shared" si="4"/>
        <v>0</v>
      </c>
      <c r="J466" s="12"/>
      <c r="K466" s="18" t="str">
        <f>IFERROR(VLOOKUP(A466,Proveedores!B464:H677,3,0), "")</f>
        <v/>
      </c>
    </row>
    <row r="467" ht="21.75" customHeight="1">
      <c r="A467" s="16" t="str">
        <f>Productos!B465</f>
        <v/>
      </c>
      <c r="B467" s="16" t="str">
        <f>Productos!C465</f>
        <v/>
      </c>
      <c r="C467" s="16" t="str">
        <f>Productos!E465</f>
        <v/>
      </c>
      <c r="D467" s="13" t="str">
        <f>Productos!F465</f>
        <v/>
      </c>
      <c r="E467" s="13" t="str">
        <f>Productos!G465</f>
        <v/>
      </c>
      <c r="F467" s="19"/>
      <c r="G467" s="13">
        <f t="shared" si="2"/>
        <v>0</v>
      </c>
      <c r="H467" s="13">
        <f t="shared" si="3"/>
        <v>0</v>
      </c>
      <c r="I467" s="13">
        <f t="shared" si="4"/>
        <v>0</v>
      </c>
      <c r="J467" s="12"/>
      <c r="K467" s="18" t="str">
        <f>IFERROR(VLOOKUP(A467,Proveedores!B465:H678,3,0), "")</f>
        <v/>
      </c>
    </row>
    <row r="468" ht="21.75" customHeight="1">
      <c r="A468" s="16" t="str">
        <f>Productos!B466</f>
        <v/>
      </c>
      <c r="B468" s="16" t="str">
        <f>Productos!C466</f>
        <v/>
      </c>
      <c r="C468" s="16" t="str">
        <f>Productos!E466</f>
        <v/>
      </c>
      <c r="D468" s="13" t="str">
        <f>Productos!F466</f>
        <v/>
      </c>
      <c r="E468" s="13" t="str">
        <f>Productos!G466</f>
        <v/>
      </c>
      <c r="F468" s="19"/>
      <c r="G468" s="13">
        <f t="shared" si="2"/>
        <v>0</v>
      </c>
      <c r="H468" s="13">
        <f t="shared" si="3"/>
        <v>0</v>
      </c>
      <c r="I468" s="13">
        <f t="shared" si="4"/>
        <v>0</v>
      </c>
      <c r="J468" s="12"/>
      <c r="K468" s="18" t="str">
        <f>IFERROR(VLOOKUP(A468,Proveedores!B466:H679,3,0), "")</f>
        <v/>
      </c>
    </row>
    <row r="469" ht="21.75" customHeight="1">
      <c r="A469" s="16" t="str">
        <f>Productos!B467</f>
        <v/>
      </c>
      <c r="B469" s="16" t="str">
        <f>Productos!C467</f>
        <v/>
      </c>
      <c r="C469" s="16" t="str">
        <f>Productos!E467</f>
        <v/>
      </c>
      <c r="D469" s="13" t="str">
        <f>Productos!F467</f>
        <v/>
      </c>
      <c r="E469" s="13" t="str">
        <f>Productos!G467</f>
        <v/>
      </c>
      <c r="F469" s="19"/>
      <c r="G469" s="13">
        <f t="shared" si="2"/>
        <v>0</v>
      </c>
      <c r="H469" s="13">
        <f t="shared" si="3"/>
        <v>0</v>
      </c>
      <c r="I469" s="13">
        <f t="shared" si="4"/>
        <v>0</v>
      </c>
      <c r="J469" s="12"/>
      <c r="K469" s="18" t="str">
        <f>IFERROR(VLOOKUP(A469,Proveedores!B467:H680,3,0), "")</f>
        <v/>
      </c>
    </row>
    <row r="470" ht="21.75" customHeight="1">
      <c r="A470" s="16" t="str">
        <f>Productos!B468</f>
        <v/>
      </c>
      <c r="B470" s="16" t="str">
        <f>Productos!C468</f>
        <v/>
      </c>
      <c r="C470" s="16" t="str">
        <f>Productos!E468</f>
        <v/>
      </c>
      <c r="D470" s="13" t="str">
        <f>Productos!F468</f>
        <v/>
      </c>
      <c r="E470" s="13" t="str">
        <f>Productos!G468</f>
        <v/>
      </c>
      <c r="F470" s="19"/>
      <c r="G470" s="13">
        <f t="shared" si="2"/>
        <v>0</v>
      </c>
      <c r="H470" s="13">
        <f t="shared" si="3"/>
        <v>0</v>
      </c>
      <c r="I470" s="13">
        <f t="shared" si="4"/>
        <v>0</v>
      </c>
      <c r="J470" s="12"/>
      <c r="K470" s="18" t="str">
        <f>IFERROR(VLOOKUP(A470,Proveedores!B468:H681,3,0), "")</f>
        <v/>
      </c>
    </row>
    <row r="471" ht="21.75" customHeight="1">
      <c r="A471" s="16" t="str">
        <f>Productos!B469</f>
        <v/>
      </c>
      <c r="B471" s="16" t="str">
        <f>Productos!C469</f>
        <v/>
      </c>
      <c r="C471" s="16" t="str">
        <f>Productos!E469</f>
        <v/>
      </c>
      <c r="D471" s="13" t="str">
        <f>Productos!F469</f>
        <v/>
      </c>
      <c r="E471" s="13" t="str">
        <f>Productos!G469</f>
        <v/>
      </c>
      <c r="F471" s="19"/>
      <c r="G471" s="13">
        <f t="shared" si="2"/>
        <v>0</v>
      </c>
      <c r="H471" s="13">
        <f t="shared" si="3"/>
        <v>0</v>
      </c>
      <c r="I471" s="13">
        <f t="shared" si="4"/>
        <v>0</v>
      </c>
      <c r="J471" s="12"/>
      <c r="K471" s="18" t="str">
        <f>IFERROR(VLOOKUP(A471,Proveedores!B469:H682,3,0), "")</f>
        <v/>
      </c>
    </row>
    <row r="472" ht="21.75" customHeight="1">
      <c r="A472" s="16" t="str">
        <f>Productos!B470</f>
        <v/>
      </c>
      <c r="B472" s="16" t="str">
        <f>Productos!C470</f>
        <v/>
      </c>
      <c r="C472" s="16" t="str">
        <f>Productos!E470</f>
        <v/>
      </c>
      <c r="D472" s="13" t="str">
        <f>Productos!F470</f>
        <v/>
      </c>
      <c r="E472" s="13" t="str">
        <f>Productos!G470</f>
        <v/>
      </c>
      <c r="F472" s="19"/>
      <c r="G472" s="13">
        <f t="shared" si="2"/>
        <v>0</v>
      </c>
      <c r="H472" s="13">
        <f t="shared" si="3"/>
        <v>0</v>
      </c>
      <c r="I472" s="13">
        <f t="shared" si="4"/>
        <v>0</v>
      </c>
      <c r="J472" s="12"/>
      <c r="K472" s="18" t="str">
        <f>IFERROR(VLOOKUP(A472,Proveedores!B470:H683,3,0), "")</f>
        <v/>
      </c>
    </row>
    <row r="473" ht="21.75" customHeight="1">
      <c r="A473" s="16" t="str">
        <f>Productos!B471</f>
        <v/>
      </c>
      <c r="B473" s="16" t="str">
        <f>Productos!C471</f>
        <v/>
      </c>
      <c r="C473" s="16" t="str">
        <f>Productos!E471</f>
        <v/>
      </c>
      <c r="D473" s="13" t="str">
        <f>Productos!F471</f>
        <v/>
      </c>
      <c r="E473" s="13" t="str">
        <f>Productos!G471</f>
        <v/>
      </c>
      <c r="F473" s="19"/>
      <c r="G473" s="13">
        <f t="shared" si="2"/>
        <v>0</v>
      </c>
      <c r="H473" s="13">
        <f t="shared" si="3"/>
        <v>0</v>
      </c>
      <c r="I473" s="13">
        <f t="shared" si="4"/>
        <v>0</v>
      </c>
      <c r="J473" s="12"/>
      <c r="K473" s="18" t="str">
        <f>IFERROR(VLOOKUP(A473,Proveedores!B471:H684,3,0), "")</f>
        <v/>
      </c>
    </row>
    <row r="474" ht="21.75" customHeight="1">
      <c r="A474" s="16" t="str">
        <f>Productos!B472</f>
        <v/>
      </c>
      <c r="B474" s="16" t="str">
        <f>Productos!C472</f>
        <v/>
      </c>
      <c r="C474" s="16" t="str">
        <f>Productos!E472</f>
        <v/>
      </c>
      <c r="D474" s="13" t="str">
        <f>Productos!F472</f>
        <v/>
      </c>
      <c r="E474" s="13" t="str">
        <f>Productos!G472</f>
        <v/>
      </c>
      <c r="F474" s="19"/>
      <c r="G474" s="13">
        <f t="shared" si="2"/>
        <v>0</v>
      </c>
      <c r="H474" s="13">
        <f t="shared" si="3"/>
        <v>0</v>
      </c>
      <c r="I474" s="13">
        <f t="shared" si="4"/>
        <v>0</v>
      </c>
      <c r="J474" s="12"/>
      <c r="K474" s="18" t="str">
        <f>IFERROR(VLOOKUP(A474,Proveedores!B472:H685,3,0), "")</f>
        <v/>
      </c>
    </row>
    <row r="475" ht="21.75" customHeight="1">
      <c r="A475" s="16" t="str">
        <f>Productos!B473</f>
        <v/>
      </c>
      <c r="B475" s="16" t="str">
        <f>Productos!C473</f>
        <v/>
      </c>
      <c r="C475" s="16" t="str">
        <f>Productos!E473</f>
        <v/>
      </c>
      <c r="D475" s="13" t="str">
        <f>Productos!F473</f>
        <v/>
      </c>
      <c r="E475" s="13" t="str">
        <f>Productos!G473</f>
        <v/>
      </c>
      <c r="F475" s="19"/>
      <c r="G475" s="13">
        <f t="shared" si="2"/>
        <v>0</v>
      </c>
      <c r="H475" s="13">
        <f t="shared" si="3"/>
        <v>0</v>
      </c>
      <c r="I475" s="13">
        <f t="shared" si="4"/>
        <v>0</v>
      </c>
      <c r="J475" s="12"/>
      <c r="K475" s="18" t="str">
        <f>IFERROR(VLOOKUP(A475,Proveedores!B473:H686,3,0), "")</f>
        <v/>
      </c>
    </row>
    <row r="476" ht="21.75" customHeight="1">
      <c r="A476" s="16" t="str">
        <f>Productos!B474</f>
        <v/>
      </c>
      <c r="B476" s="16" t="str">
        <f>Productos!C474</f>
        <v/>
      </c>
      <c r="C476" s="16" t="str">
        <f>Productos!E474</f>
        <v/>
      </c>
      <c r="D476" s="13" t="str">
        <f>Productos!F474</f>
        <v/>
      </c>
      <c r="E476" s="13" t="str">
        <f>Productos!G474</f>
        <v/>
      </c>
      <c r="F476" s="19"/>
      <c r="G476" s="13">
        <f t="shared" si="2"/>
        <v>0</v>
      </c>
      <c r="H476" s="13">
        <f t="shared" si="3"/>
        <v>0</v>
      </c>
      <c r="I476" s="13">
        <f t="shared" si="4"/>
        <v>0</v>
      </c>
      <c r="J476" s="12"/>
      <c r="K476" s="18" t="str">
        <f>IFERROR(VLOOKUP(A476,Proveedores!B474:H687,3,0), "")</f>
        <v/>
      </c>
    </row>
    <row r="477" ht="21.75" customHeight="1">
      <c r="A477" s="16" t="str">
        <f>Productos!B475</f>
        <v/>
      </c>
      <c r="B477" s="16" t="str">
        <f>Productos!C475</f>
        <v/>
      </c>
      <c r="C477" s="16" t="str">
        <f>Productos!E475</f>
        <v/>
      </c>
      <c r="D477" s="13" t="str">
        <f>Productos!F475</f>
        <v/>
      </c>
      <c r="E477" s="13" t="str">
        <f>Productos!G475</f>
        <v/>
      </c>
      <c r="F477" s="19"/>
      <c r="G477" s="13">
        <f t="shared" si="2"/>
        <v>0</v>
      </c>
      <c r="H477" s="13">
        <f t="shared" si="3"/>
        <v>0</v>
      </c>
      <c r="I477" s="13">
        <f t="shared" si="4"/>
        <v>0</v>
      </c>
      <c r="J477" s="12"/>
      <c r="K477" s="18" t="str">
        <f>IFERROR(VLOOKUP(A477,Proveedores!B475:H688,3,0), "")</f>
        <v/>
      </c>
    </row>
    <row r="478" ht="21.75" customHeight="1">
      <c r="A478" s="16" t="str">
        <f>Productos!B476</f>
        <v/>
      </c>
      <c r="B478" s="16" t="str">
        <f>Productos!C476</f>
        <v/>
      </c>
      <c r="C478" s="16" t="str">
        <f>Productos!E476</f>
        <v/>
      </c>
      <c r="D478" s="13" t="str">
        <f>Productos!F476</f>
        <v/>
      </c>
      <c r="E478" s="13" t="str">
        <f>Productos!G476</f>
        <v/>
      </c>
      <c r="F478" s="19"/>
      <c r="G478" s="13">
        <f t="shared" si="2"/>
        <v>0</v>
      </c>
      <c r="H478" s="13">
        <f t="shared" si="3"/>
        <v>0</v>
      </c>
      <c r="I478" s="13">
        <f t="shared" si="4"/>
        <v>0</v>
      </c>
      <c r="J478" s="12"/>
      <c r="K478" s="18" t="str">
        <f>IFERROR(VLOOKUP(A478,Proveedores!B476:H689,3,0), "")</f>
        <v/>
      </c>
    </row>
    <row r="479" ht="21.75" customHeight="1">
      <c r="A479" s="16" t="str">
        <f>Productos!B477</f>
        <v/>
      </c>
      <c r="B479" s="16" t="str">
        <f>Productos!C477</f>
        <v/>
      </c>
      <c r="C479" s="16" t="str">
        <f>Productos!E477</f>
        <v/>
      </c>
      <c r="D479" s="13" t="str">
        <f>Productos!F477</f>
        <v/>
      </c>
      <c r="E479" s="13" t="str">
        <f>Productos!G477</f>
        <v/>
      </c>
      <c r="F479" s="19"/>
      <c r="G479" s="13">
        <f t="shared" si="2"/>
        <v>0</v>
      </c>
      <c r="H479" s="13">
        <f t="shared" si="3"/>
        <v>0</v>
      </c>
      <c r="I479" s="13">
        <f t="shared" si="4"/>
        <v>0</v>
      </c>
      <c r="J479" s="12"/>
      <c r="K479" s="18" t="str">
        <f>IFERROR(VLOOKUP(A479,Proveedores!B477:H690,3,0), "")</f>
        <v/>
      </c>
    </row>
    <row r="480" ht="21.75" customHeight="1">
      <c r="A480" s="16" t="str">
        <f>Productos!B478</f>
        <v/>
      </c>
      <c r="B480" s="16" t="str">
        <f>Productos!C478</f>
        <v/>
      </c>
      <c r="C480" s="16" t="str">
        <f>Productos!E478</f>
        <v/>
      </c>
      <c r="D480" s="13" t="str">
        <f>Productos!F478</f>
        <v/>
      </c>
      <c r="E480" s="13" t="str">
        <f>Productos!G478</f>
        <v/>
      </c>
      <c r="F480" s="19"/>
      <c r="G480" s="13">
        <f t="shared" si="2"/>
        <v>0</v>
      </c>
      <c r="H480" s="13">
        <f t="shared" si="3"/>
        <v>0</v>
      </c>
      <c r="I480" s="13">
        <f t="shared" si="4"/>
        <v>0</v>
      </c>
      <c r="J480" s="12"/>
      <c r="K480" s="18" t="str">
        <f>IFERROR(VLOOKUP(A480,Proveedores!B478:H691,3,0), "")</f>
        <v/>
      </c>
    </row>
    <row r="481" ht="21.75" customHeight="1">
      <c r="A481" s="16" t="str">
        <f>Productos!B479</f>
        <v/>
      </c>
      <c r="B481" s="16" t="str">
        <f>Productos!C479</f>
        <v/>
      </c>
      <c r="C481" s="16" t="str">
        <f>Productos!E479</f>
        <v/>
      </c>
      <c r="D481" s="13" t="str">
        <f>Productos!F479</f>
        <v/>
      </c>
      <c r="E481" s="13" t="str">
        <f>Productos!G479</f>
        <v/>
      </c>
      <c r="F481" s="19"/>
      <c r="G481" s="13">
        <f t="shared" si="2"/>
        <v>0</v>
      </c>
      <c r="H481" s="13">
        <f t="shared" si="3"/>
        <v>0</v>
      </c>
      <c r="I481" s="13">
        <f t="shared" si="4"/>
        <v>0</v>
      </c>
      <c r="J481" s="12"/>
      <c r="K481" s="18" t="str">
        <f>IFERROR(VLOOKUP(A481,Proveedores!B479:H692,3,0), "")</f>
        <v/>
      </c>
    </row>
    <row r="482" ht="21.75" customHeight="1">
      <c r="A482" s="16" t="str">
        <f>Productos!B480</f>
        <v/>
      </c>
      <c r="B482" s="16" t="str">
        <f>Productos!C480</f>
        <v/>
      </c>
      <c r="C482" s="16" t="str">
        <f>Productos!E480</f>
        <v/>
      </c>
      <c r="D482" s="13" t="str">
        <f>Productos!F480</f>
        <v/>
      </c>
      <c r="E482" s="13" t="str">
        <f>Productos!G480</f>
        <v/>
      </c>
      <c r="F482" s="19"/>
      <c r="G482" s="13">
        <f t="shared" si="2"/>
        <v>0</v>
      </c>
      <c r="H482" s="13">
        <f t="shared" si="3"/>
        <v>0</v>
      </c>
      <c r="I482" s="13">
        <f t="shared" si="4"/>
        <v>0</v>
      </c>
      <c r="J482" s="12"/>
      <c r="K482" s="18" t="str">
        <f>IFERROR(VLOOKUP(A482,Proveedores!B480:H693,3,0), "")</f>
        <v/>
      </c>
    </row>
    <row r="483" ht="21.75" customHeight="1">
      <c r="A483" s="16" t="str">
        <f>Productos!B481</f>
        <v/>
      </c>
      <c r="B483" s="16" t="str">
        <f>Productos!C481</f>
        <v/>
      </c>
      <c r="C483" s="16" t="str">
        <f>Productos!E481</f>
        <v/>
      </c>
      <c r="D483" s="13" t="str">
        <f>Productos!F481</f>
        <v/>
      </c>
      <c r="E483" s="13" t="str">
        <f>Productos!G481</f>
        <v/>
      </c>
      <c r="F483" s="19"/>
      <c r="G483" s="13">
        <f t="shared" si="2"/>
        <v>0</v>
      </c>
      <c r="H483" s="13">
        <f t="shared" si="3"/>
        <v>0</v>
      </c>
      <c r="I483" s="13">
        <f t="shared" si="4"/>
        <v>0</v>
      </c>
      <c r="J483" s="12"/>
      <c r="K483" s="18" t="str">
        <f>IFERROR(VLOOKUP(A483,Proveedores!B481:H694,3,0), "")</f>
        <v/>
      </c>
    </row>
    <row r="484" ht="21.75" customHeight="1">
      <c r="A484" s="16" t="str">
        <f>Productos!B482</f>
        <v/>
      </c>
      <c r="B484" s="16" t="str">
        <f>Productos!C482</f>
        <v/>
      </c>
      <c r="C484" s="16" t="str">
        <f>Productos!E482</f>
        <v/>
      </c>
      <c r="D484" s="13" t="str">
        <f>Productos!F482</f>
        <v/>
      </c>
      <c r="E484" s="13" t="str">
        <f>Productos!G482</f>
        <v/>
      </c>
      <c r="F484" s="19"/>
      <c r="G484" s="13">
        <f t="shared" si="2"/>
        <v>0</v>
      </c>
      <c r="H484" s="13">
        <f t="shared" si="3"/>
        <v>0</v>
      </c>
      <c r="I484" s="13">
        <f t="shared" si="4"/>
        <v>0</v>
      </c>
      <c r="J484" s="12"/>
      <c r="K484" s="18" t="str">
        <f>IFERROR(VLOOKUP(A484,Proveedores!B482:H695,3,0), "")</f>
        <v/>
      </c>
    </row>
    <row r="485" ht="21.75" customHeight="1">
      <c r="A485" s="16" t="str">
        <f>Productos!B483</f>
        <v/>
      </c>
      <c r="B485" s="16" t="str">
        <f>Productos!C483</f>
        <v/>
      </c>
      <c r="C485" s="16" t="str">
        <f>Productos!E483</f>
        <v/>
      </c>
      <c r="D485" s="13" t="str">
        <f>Productos!F483</f>
        <v/>
      </c>
      <c r="E485" s="13" t="str">
        <f>Productos!G483</f>
        <v/>
      </c>
      <c r="F485" s="19"/>
      <c r="G485" s="13">
        <f t="shared" si="2"/>
        <v>0</v>
      </c>
      <c r="H485" s="13">
        <f t="shared" si="3"/>
        <v>0</v>
      </c>
      <c r="I485" s="13">
        <f t="shared" si="4"/>
        <v>0</v>
      </c>
      <c r="J485" s="12"/>
      <c r="K485" s="18" t="str">
        <f>IFERROR(VLOOKUP(A485,Proveedores!B483:H696,3,0), "")</f>
        <v/>
      </c>
    </row>
    <row r="486" ht="21.75" customHeight="1">
      <c r="A486" s="16" t="str">
        <f>Productos!B484</f>
        <v/>
      </c>
      <c r="B486" s="16" t="str">
        <f>Productos!C484</f>
        <v/>
      </c>
      <c r="C486" s="16" t="str">
        <f>Productos!E484</f>
        <v/>
      </c>
      <c r="D486" s="13" t="str">
        <f>Productos!F484</f>
        <v/>
      </c>
      <c r="E486" s="13" t="str">
        <f>Productos!G484</f>
        <v/>
      </c>
      <c r="F486" s="19"/>
      <c r="G486" s="13">
        <f t="shared" si="2"/>
        <v>0</v>
      </c>
      <c r="H486" s="13">
        <f t="shared" si="3"/>
        <v>0</v>
      </c>
      <c r="I486" s="13">
        <f t="shared" si="4"/>
        <v>0</v>
      </c>
      <c r="J486" s="12"/>
      <c r="K486" s="18" t="str">
        <f>IFERROR(VLOOKUP(A486,Proveedores!B484:H697,3,0), "")</f>
        <v/>
      </c>
    </row>
    <row r="487" ht="21.75" customHeight="1">
      <c r="A487" s="16" t="str">
        <f>Productos!B485</f>
        <v/>
      </c>
      <c r="B487" s="16" t="str">
        <f>Productos!C485</f>
        <v/>
      </c>
      <c r="C487" s="16" t="str">
        <f>Productos!E485</f>
        <v/>
      </c>
      <c r="D487" s="13" t="str">
        <f>Productos!F485</f>
        <v/>
      </c>
      <c r="E487" s="13" t="str">
        <f>Productos!G485</f>
        <v/>
      </c>
      <c r="F487" s="19"/>
      <c r="G487" s="13">
        <f t="shared" si="2"/>
        <v>0</v>
      </c>
      <c r="H487" s="13">
        <f t="shared" si="3"/>
        <v>0</v>
      </c>
      <c r="I487" s="13">
        <f t="shared" si="4"/>
        <v>0</v>
      </c>
      <c r="J487" s="12"/>
      <c r="K487" s="18" t="str">
        <f>IFERROR(VLOOKUP(A487,Proveedores!B485:H698,3,0), "")</f>
        <v/>
      </c>
    </row>
    <row r="488" ht="21.75" customHeight="1">
      <c r="A488" s="16" t="str">
        <f>Productos!B486</f>
        <v/>
      </c>
      <c r="B488" s="16" t="str">
        <f>Productos!C486</f>
        <v/>
      </c>
      <c r="C488" s="16" t="str">
        <f>Productos!E486</f>
        <v/>
      </c>
      <c r="D488" s="13" t="str">
        <f>Productos!F486</f>
        <v/>
      </c>
      <c r="E488" s="13" t="str">
        <f>Productos!G486</f>
        <v/>
      </c>
      <c r="F488" s="19"/>
      <c r="G488" s="13">
        <f t="shared" si="2"/>
        <v>0</v>
      </c>
      <c r="H488" s="13">
        <f t="shared" si="3"/>
        <v>0</v>
      </c>
      <c r="I488" s="13">
        <f t="shared" si="4"/>
        <v>0</v>
      </c>
      <c r="J488" s="12"/>
      <c r="K488" s="18" t="str">
        <f>IFERROR(VLOOKUP(A488,Proveedores!B486:H699,3,0), "")</f>
        <v/>
      </c>
    </row>
    <row r="489" ht="21.75" customHeight="1">
      <c r="A489" s="16" t="str">
        <f>Productos!B487</f>
        <v/>
      </c>
      <c r="B489" s="16" t="str">
        <f>Productos!C487</f>
        <v/>
      </c>
      <c r="C489" s="16" t="str">
        <f>Productos!E487</f>
        <v/>
      </c>
      <c r="D489" s="13" t="str">
        <f>Productos!F487</f>
        <v/>
      </c>
      <c r="E489" s="13" t="str">
        <f>Productos!G487</f>
        <v/>
      </c>
      <c r="F489" s="19"/>
      <c r="G489" s="13">
        <f t="shared" si="2"/>
        <v>0</v>
      </c>
      <c r="H489" s="13">
        <f t="shared" si="3"/>
        <v>0</v>
      </c>
      <c r="I489" s="13">
        <f t="shared" si="4"/>
        <v>0</v>
      </c>
      <c r="J489" s="12"/>
      <c r="K489" s="18" t="str">
        <f>IFERROR(VLOOKUP(A489,Proveedores!B487:H700,3,0), "")</f>
        <v/>
      </c>
    </row>
    <row r="490" ht="21.75" customHeight="1">
      <c r="A490" s="16" t="str">
        <f>Productos!B488</f>
        <v/>
      </c>
      <c r="B490" s="16" t="str">
        <f>Productos!C488</f>
        <v/>
      </c>
      <c r="C490" s="16" t="str">
        <f>Productos!E488</f>
        <v/>
      </c>
      <c r="D490" s="13" t="str">
        <f>Productos!F488</f>
        <v/>
      </c>
      <c r="E490" s="13" t="str">
        <f>Productos!G488</f>
        <v/>
      </c>
      <c r="F490" s="19"/>
      <c r="G490" s="13">
        <f t="shared" si="2"/>
        <v>0</v>
      </c>
      <c r="H490" s="13">
        <f t="shared" si="3"/>
        <v>0</v>
      </c>
      <c r="I490" s="13">
        <f t="shared" si="4"/>
        <v>0</v>
      </c>
      <c r="J490" s="12"/>
      <c r="K490" s="18" t="str">
        <f>IFERROR(VLOOKUP(A490,Proveedores!B488:H701,3,0), "")</f>
        <v/>
      </c>
    </row>
    <row r="491" ht="21.75" customHeight="1">
      <c r="A491" s="16" t="str">
        <f>Productos!B489</f>
        <v/>
      </c>
      <c r="B491" s="16" t="str">
        <f>Productos!C489</f>
        <v/>
      </c>
      <c r="C491" s="16" t="str">
        <f>Productos!E489</f>
        <v/>
      </c>
      <c r="D491" s="13" t="str">
        <f>Productos!F489</f>
        <v/>
      </c>
      <c r="E491" s="13" t="str">
        <f>Productos!G489</f>
        <v/>
      </c>
      <c r="F491" s="19"/>
      <c r="G491" s="13">
        <f t="shared" si="2"/>
        <v>0</v>
      </c>
      <c r="H491" s="13">
        <f t="shared" si="3"/>
        <v>0</v>
      </c>
      <c r="I491" s="13">
        <f t="shared" si="4"/>
        <v>0</v>
      </c>
      <c r="J491" s="12"/>
      <c r="K491" s="18" t="str">
        <f>IFERROR(VLOOKUP(A491,Proveedores!B489:H702,3,0), "")</f>
        <v/>
      </c>
    </row>
    <row r="492" ht="21.75" customHeight="1">
      <c r="A492" s="16" t="str">
        <f>Productos!B490</f>
        <v/>
      </c>
      <c r="B492" s="16" t="str">
        <f>Productos!C490</f>
        <v/>
      </c>
      <c r="C492" s="16" t="str">
        <f>Productos!E490</f>
        <v/>
      </c>
      <c r="D492" s="13" t="str">
        <f>Productos!F490</f>
        <v/>
      </c>
      <c r="E492" s="13" t="str">
        <f>Productos!G490</f>
        <v/>
      </c>
      <c r="F492" s="19"/>
      <c r="G492" s="13">
        <f t="shared" si="2"/>
        <v>0</v>
      </c>
      <c r="H492" s="13">
        <f t="shared" si="3"/>
        <v>0</v>
      </c>
      <c r="I492" s="13">
        <f t="shared" si="4"/>
        <v>0</v>
      </c>
      <c r="J492" s="12"/>
      <c r="K492" s="18" t="str">
        <f>IFERROR(VLOOKUP(A492,Proveedores!B490:H703,3,0), "")</f>
        <v/>
      </c>
    </row>
    <row r="493" ht="21.75" customHeight="1">
      <c r="A493" s="16" t="str">
        <f>Productos!B491</f>
        <v/>
      </c>
      <c r="B493" s="16" t="str">
        <f>Productos!C491</f>
        <v/>
      </c>
      <c r="C493" s="16" t="str">
        <f>Productos!E491</f>
        <v/>
      </c>
      <c r="D493" s="13" t="str">
        <f>Productos!F491</f>
        <v/>
      </c>
      <c r="E493" s="13" t="str">
        <f>Productos!G491</f>
        <v/>
      </c>
      <c r="F493" s="19"/>
      <c r="G493" s="13">
        <f t="shared" si="2"/>
        <v>0</v>
      </c>
      <c r="H493" s="13">
        <f t="shared" si="3"/>
        <v>0</v>
      </c>
      <c r="I493" s="13">
        <f t="shared" si="4"/>
        <v>0</v>
      </c>
      <c r="J493" s="12"/>
      <c r="K493" s="18" t="str">
        <f>IFERROR(VLOOKUP(A493,Proveedores!B491:H704,3,0), "")</f>
        <v/>
      </c>
    </row>
    <row r="494" ht="21.75" customHeight="1">
      <c r="A494" s="16" t="str">
        <f>Productos!B492</f>
        <v/>
      </c>
      <c r="B494" s="16" t="str">
        <f>Productos!C492</f>
        <v/>
      </c>
      <c r="C494" s="16" t="str">
        <f>Productos!E492</f>
        <v/>
      </c>
      <c r="D494" s="13" t="str">
        <f>Productos!F492</f>
        <v/>
      </c>
      <c r="E494" s="13" t="str">
        <f>Productos!G492</f>
        <v/>
      </c>
      <c r="F494" s="19"/>
      <c r="G494" s="13">
        <f t="shared" si="2"/>
        <v>0</v>
      </c>
      <c r="H494" s="13">
        <f t="shared" si="3"/>
        <v>0</v>
      </c>
      <c r="I494" s="13">
        <f t="shared" si="4"/>
        <v>0</v>
      </c>
      <c r="J494" s="12"/>
      <c r="K494" s="18" t="str">
        <f>IFERROR(VLOOKUP(A494,Proveedores!B492:H705,3,0), "")</f>
        <v/>
      </c>
    </row>
    <row r="495" ht="21.75" customHeight="1">
      <c r="A495" s="16" t="str">
        <f>Productos!B493</f>
        <v/>
      </c>
      <c r="B495" s="16" t="str">
        <f>Productos!C493</f>
        <v/>
      </c>
      <c r="C495" s="16" t="str">
        <f>Productos!E493</f>
        <v/>
      </c>
      <c r="D495" s="13" t="str">
        <f>Productos!F493</f>
        <v/>
      </c>
      <c r="E495" s="13" t="str">
        <f>Productos!G493</f>
        <v/>
      </c>
      <c r="F495" s="19"/>
      <c r="G495" s="13">
        <f t="shared" si="2"/>
        <v>0</v>
      </c>
      <c r="H495" s="13">
        <f t="shared" si="3"/>
        <v>0</v>
      </c>
      <c r="I495" s="13">
        <f t="shared" si="4"/>
        <v>0</v>
      </c>
      <c r="J495" s="12"/>
      <c r="K495" s="18" t="str">
        <f>IFERROR(VLOOKUP(A495,Proveedores!B493:H706,3,0), "")</f>
        <v/>
      </c>
    </row>
    <row r="496" ht="21.75" customHeight="1">
      <c r="A496" s="16" t="str">
        <f>Productos!B494</f>
        <v/>
      </c>
      <c r="B496" s="16" t="str">
        <f>Productos!C494</f>
        <v/>
      </c>
      <c r="C496" s="16" t="str">
        <f>Productos!E494</f>
        <v/>
      </c>
      <c r="D496" s="13" t="str">
        <f>Productos!F494</f>
        <v/>
      </c>
      <c r="E496" s="13" t="str">
        <f>Productos!G494</f>
        <v/>
      </c>
      <c r="F496" s="19"/>
      <c r="G496" s="13">
        <f t="shared" si="2"/>
        <v>0</v>
      </c>
      <c r="H496" s="13">
        <f t="shared" si="3"/>
        <v>0</v>
      </c>
      <c r="I496" s="13">
        <f t="shared" si="4"/>
        <v>0</v>
      </c>
      <c r="J496" s="12"/>
      <c r="K496" s="18" t="str">
        <f>IFERROR(VLOOKUP(A496,Proveedores!B494:H707,3,0), "")</f>
        <v/>
      </c>
    </row>
    <row r="497" ht="21.75" customHeight="1">
      <c r="A497" s="16" t="str">
        <f>Productos!B495</f>
        <v/>
      </c>
      <c r="B497" s="16" t="str">
        <f>Productos!C495</f>
        <v/>
      </c>
      <c r="C497" s="16" t="str">
        <f>Productos!E495</f>
        <v/>
      </c>
      <c r="D497" s="13" t="str">
        <f>Productos!F495</f>
        <v/>
      </c>
      <c r="E497" s="13" t="str">
        <f>Productos!G495</f>
        <v/>
      </c>
      <c r="F497" s="19"/>
      <c r="G497" s="13">
        <f t="shared" si="2"/>
        <v>0</v>
      </c>
      <c r="H497" s="13">
        <f t="shared" si="3"/>
        <v>0</v>
      </c>
      <c r="I497" s="13">
        <f t="shared" si="4"/>
        <v>0</v>
      </c>
      <c r="J497" s="12"/>
      <c r="K497" s="18" t="str">
        <f>IFERROR(VLOOKUP(A497,Proveedores!B495:H708,3,0), "")</f>
        <v/>
      </c>
    </row>
    <row r="498" ht="21.75" customHeight="1">
      <c r="A498" s="16" t="str">
        <f>Productos!B496</f>
        <v/>
      </c>
      <c r="B498" s="16" t="str">
        <f>Productos!C496</f>
        <v/>
      </c>
      <c r="C498" s="16" t="str">
        <f>Productos!E496</f>
        <v/>
      </c>
      <c r="D498" s="13" t="str">
        <f>Productos!F496</f>
        <v/>
      </c>
      <c r="E498" s="13" t="str">
        <f>Productos!G496</f>
        <v/>
      </c>
      <c r="F498" s="19"/>
      <c r="G498" s="13">
        <f t="shared" si="2"/>
        <v>0</v>
      </c>
      <c r="H498" s="13">
        <f t="shared" si="3"/>
        <v>0</v>
      </c>
      <c r="I498" s="13">
        <f t="shared" si="4"/>
        <v>0</v>
      </c>
      <c r="J498" s="12"/>
      <c r="K498" s="18" t="str">
        <f>IFERROR(VLOOKUP(A498,Proveedores!B496:H709,3,0), "")</f>
        <v/>
      </c>
    </row>
    <row r="499" ht="21.75" customHeight="1">
      <c r="A499" s="16" t="str">
        <f>Productos!B497</f>
        <v/>
      </c>
      <c r="B499" s="16" t="str">
        <f>Productos!C497</f>
        <v/>
      </c>
      <c r="C499" s="16" t="str">
        <f>Productos!E497</f>
        <v/>
      </c>
      <c r="D499" s="13" t="str">
        <f>Productos!F497</f>
        <v/>
      </c>
      <c r="E499" s="13" t="str">
        <f>Productos!G497</f>
        <v/>
      </c>
      <c r="F499" s="19"/>
      <c r="G499" s="13">
        <f t="shared" si="2"/>
        <v>0</v>
      </c>
      <c r="H499" s="13">
        <f t="shared" si="3"/>
        <v>0</v>
      </c>
      <c r="I499" s="13">
        <f t="shared" si="4"/>
        <v>0</v>
      </c>
      <c r="J499" s="12"/>
      <c r="K499" s="18" t="str">
        <f>IFERROR(VLOOKUP(A499,Proveedores!B497:H710,3,0), "")</f>
        <v/>
      </c>
    </row>
    <row r="500" ht="21.75" customHeight="1">
      <c r="A500" s="16" t="str">
        <f>Productos!B498</f>
        <v/>
      </c>
      <c r="B500" s="16" t="str">
        <f>Productos!C498</f>
        <v/>
      </c>
      <c r="C500" s="16" t="str">
        <f>Productos!E498</f>
        <v/>
      </c>
      <c r="D500" s="13" t="str">
        <f>Productos!F498</f>
        <v/>
      </c>
      <c r="E500" s="13" t="str">
        <f>Productos!G498</f>
        <v/>
      </c>
      <c r="F500" s="19"/>
      <c r="G500" s="13">
        <f t="shared" si="2"/>
        <v>0</v>
      </c>
      <c r="H500" s="13">
        <f t="shared" si="3"/>
        <v>0</v>
      </c>
      <c r="I500" s="13">
        <f t="shared" si="4"/>
        <v>0</v>
      </c>
      <c r="J500" s="12"/>
      <c r="K500" s="18" t="str">
        <f>IFERROR(VLOOKUP(A500,Proveedores!B498:H711,3,0), "")</f>
        <v/>
      </c>
    </row>
    <row r="501" ht="21.75" customHeight="1">
      <c r="A501" s="16" t="str">
        <f>Productos!B499</f>
        <v/>
      </c>
      <c r="B501" s="16" t="str">
        <f>Productos!C499</f>
        <v/>
      </c>
      <c r="C501" s="16" t="str">
        <f>Productos!E499</f>
        <v/>
      </c>
      <c r="D501" s="13" t="str">
        <f>Productos!F499</f>
        <v/>
      </c>
      <c r="E501" s="13" t="str">
        <f>Productos!G499</f>
        <v/>
      </c>
      <c r="F501" s="19"/>
      <c r="G501" s="13">
        <f t="shared" si="2"/>
        <v>0</v>
      </c>
      <c r="H501" s="13">
        <f t="shared" si="3"/>
        <v>0</v>
      </c>
      <c r="I501" s="13">
        <f t="shared" si="4"/>
        <v>0</v>
      </c>
      <c r="J501" s="12"/>
      <c r="K501" s="18" t="str">
        <f>IFERROR(VLOOKUP(A501,Proveedores!B499:H712,3,0), "")</f>
        <v/>
      </c>
    </row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2">
    <mergeCell ref="A1:J3"/>
    <mergeCell ref="A4:J4"/>
  </mergeCells>
  <dataValidations>
    <dataValidation type="list" allowBlank="1" showErrorMessage="1" sqref="B5:B6">
      <formula1>Proveedores!$B$7:$B$56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28.0"/>
    <col customWidth="1" min="3" max="3" width="22.0"/>
    <col customWidth="1" min="4" max="4" width="18.0"/>
    <col customWidth="1" min="5" max="5" width="28.0"/>
    <col customWidth="1" min="6" max="6" width="22.0"/>
    <col customWidth="1" min="7" max="7" width="20.0"/>
    <col customWidth="1" min="8" max="8" width="36.0"/>
    <col customWidth="1" min="9" max="26" width="8.86"/>
  </cols>
  <sheetData>
    <row r="1" ht="21.75" customHeight="1">
      <c r="A1" s="8" t="s">
        <v>25</v>
      </c>
      <c r="B1" s="2"/>
      <c r="C1" s="2"/>
      <c r="D1" s="2"/>
      <c r="E1" s="2"/>
      <c r="F1" s="2"/>
      <c r="G1" s="2"/>
      <c r="H1" s="2"/>
    </row>
    <row r="2" ht="21.75" customHeight="1">
      <c r="A2" s="3"/>
    </row>
    <row r="3" ht="21.75" customHeight="1">
      <c r="A3" s="3"/>
    </row>
    <row r="4" ht="21.75" customHeight="1">
      <c r="A4" s="9" t="s">
        <v>25</v>
      </c>
    </row>
    <row r="5" ht="21.75" customHeight="1"/>
    <row r="6" ht="21.75" customHeight="1">
      <c r="A6" s="15" t="s">
        <v>26</v>
      </c>
      <c r="B6" s="15" t="s">
        <v>27</v>
      </c>
      <c r="C6" s="15" t="s">
        <v>28</v>
      </c>
      <c r="D6" s="15" t="s">
        <v>29</v>
      </c>
      <c r="E6" s="15" t="s">
        <v>30</v>
      </c>
      <c r="F6" s="15" t="s">
        <v>31</v>
      </c>
      <c r="G6" s="15" t="s">
        <v>32</v>
      </c>
      <c r="H6" s="15" t="s">
        <v>33</v>
      </c>
    </row>
    <row r="7" ht="21.75" customHeight="1">
      <c r="A7" s="16">
        <v>1.0</v>
      </c>
      <c r="B7" s="20" t="s">
        <v>34</v>
      </c>
      <c r="C7" s="20" t="s">
        <v>35</v>
      </c>
      <c r="D7" s="20">
        <v>1.0</v>
      </c>
      <c r="E7" s="20" t="s">
        <v>36</v>
      </c>
      <c r="F7" s="20" t="s">
        <v>37</v>
      </c>
      <c r="G7" s="20" t="s">
        <v>38</v>
      </c>
      <c r="H7" s="12"/>
    </row>
    <row r="8" ht="21.75" customHeight="1">
      <c r="A8" s="16">
        <v>2.0</v>
      </c>
      <c r="B8" s="20" t="s">
        <v>39</v>
      </c>
      <c r="C8" s="20" t="s">
        <v>40</v>
      </c>
      <c r="D8" s="20">
        <v>2.0</v>
      </c>
      <c r="E8" s="20" t="s">
        <v>36</v>
      </c>
      <c r="F8" s="20" t="s">
        <v>37</v>
      </c>
      <c r="G8" s="20" t="s">
        <v>38</v>
      </c>
      <c r="H8" s="12"/>
    </row>
    <row r="9" ht="21.75" customHeight="1">
      <c r="A9" s="16">
        <v>3.0</v>
      </c>
      <c r="B9" s="20" t="s">
        <v>41</v>
      </c>
      <c r="C9" s="20" t="s">
        <v>42</v>
      </c>
      <c r="D9" s="20">
        <v>3.0</v>
      </c>
      <c r="E9" s="20" t="s">
        <v>36</v>
      </c>
      <c r="F9" s="20" t="s">
        <v>37</v>
      </c>
      <c r="G9" s="20" t="s">
        <v>38</v>
      </c>
      <c r="H9" s="12"/>
    </row>
    <row r="10" ht="21.75" customHeight="1">
      <c r="A10" s="16">
        <v>4.0</v>
      </c>
      <c r="B10" s="20" t="s">
        <v>43</v>
      </c>
      <c r="C10" s="20" t="s">
        <v>44</v>
      </c>
      <c r="D10" s="20">
        <v>4.0</v>
      </c>
      <c r="E10" s="20" t="s">
        <v>36</v>
      </c>
      <c r="F10" s="20" t="s">
        <v>37</v>
      </c>
      <c r="G10" s="20" t="s">
        <v>38</v>
      </c>
      <c r="H10" s="12"/>
    </row>
    <row r="11" ht="21.75" customHeight="1">
      <c r="A11" s="16">
        <v>5.0</v>
      </c>
      <c r="B11" s="20" t="s">
        <v>45</v>
      </c>
      <c r="C11" s="20" t="s">
        <v>46</v>
      </c>
      <c r="D11" s="20">
        <v>5.0</v>
      </c>
      <c r="E11" s="20" t="s">
        <v>36</v>
      </c>
      <c r="F11" s="20" t="s">
        <v>37</v>
      </c>
      <c r="G11" s="20" t="s">
        <v>38</v>
      </c>
      <c r="H11" s="12"/>
    </row>
    <row r="12" ht="21.75" customHeight="1">
      <c r="A12" s="16">
        <v>6.0</v>
      </c>
      <c r="B12" s="12"/>
      <c r="C12" s="12"/>
      <c r="D12" s="12"/>
      <c r="E12" s="12"/>
      <c r="F12" s="12"/>
      <c r="G12" s="12"/>
      <c r="H12" s="12"/>
    </row>
    <row r="13" ht="21.75" customHeight="1">
      <c r="A13" s="16">
        <v>7.0</v>
      </c>
      <c r="B13" s="12"/>
      <c r="C13" s="12"/>
      <c r="D13" s="12"/>
      <c r="E13" s="12"/>
      <c r="F13" s="12"/>
      <c r="G13" s="12"/>
      <c r="H13" s="12"/>
    </row>
    <row r="14" ht="21.75" customHeight="1">
      <c r="A14" s="16">
        <v>8.0</v>
      </c>
      <c r="B14" s="12"/>
      <c r="C14" s="12"/>
      <c r="D14" s="12"/>
      <c r="E14" s="12"/>
      <c r="F14" s="12"/>
      <c r="G14" s="12"/>
      <c r="H14" s="12"/>
    </row>
    <row r="15" ht="21.75" customHeight="1">
      <c r="A15" s="16">
        <v>9.0</v>
      </c>
      <c r="B15" s="12"/>
      <c r="C15" s="12"/>
      <c r="D15" s="12"/>
      <c r="E15" s="12"/>
      <c r="F15" s="12"/>
      <c r="G15" s="12"/>
      <c r="H15" s="12"/>
    </row>
    <row r="16" ht="21.75" customHeight="1">
      <c r="A16" s="16">
        <v>10.0</v>
      </c>
      <c r="B16" s="12"/>
      <c r="C16" s="12"/>
      <c r="D16" s="12"/>
      <c r="E16" s="12"/>
      <c r="F16" s="12"/>
      <c r="G16" s="12"/>
      <c r="H16" s="12"/>
    </row>
    <row r="17" ht="21.75" customHeight="1">
      <c r="A17" s="16">
        <v>11.0</v>
      </c>
      <c r="B17" s="12"/>
      <c r="C17" s="12"/>
      <c r="D17" s="12"/>
      <c r="E17" s="12"/>
      <c r="F17" s="12"/>
      <c r="G17" s="12"/>
      <c r="H17" s="12"/>
    </row>
    <row r="18" ht="21.75" customHeight="1">
      <c r="A18" s="16">
        <v>12.0</v>
      </c>
      <c r="B18" s="12"/>
      <c r="C18" s="12"/>
      <c r="D18" s="12"/>
      <c r="E18" s="12"/>
      <c r="F18" s="12"/>
      <c r="G18" s="12"/>
      <c r="H18" s="12"/>
    </row>
    <row r="19" ht="21.75" customHeight="1">
      <c r="A19" s="16">
        <v>13.0</v>
      </c>
      <c r="B19" s="12"/>
      <c r="C19" s="12"/>
      <c r="D19" s="12"/>
      <c r="E19" s="12"/>
      <c r="F19" s="12"/>
      <c r="G19" s="12"/>
      <c r="H19" s="12"/>
    </row>
    <row r="20" ht="21.75" customHeight="1">
      <c r="A20" s="16">
        <v>14.0</v>
      </c>
      <c r="B20" s="12"/>
      <c r="C20" s="12"/>
      <c r="D20" s="12"/>
      <c r="E20" s="12"/>
      <c r="F20" s="12"/>
      <c r="G20" s="12"/>
      <c r="H20" s="12"/>
    </row>
    <row r="21" ht="21.75" customHeight="1">
      <c r="A21" s="16">
        <v>15.0</v>
      </c>
      <c r="B21" s="12"/>
      <c r="C21" s="12"/>
      <c r="D21" s="12"/>
      <c r="E21" s="12"/>
      <c r="F21" s="12"/>
      <c r="G21" s="12"/>
      <c r="H21" s="12"/>
    </row>
    <row r="22" ht="21.75" customHeight="1">
      <c r="A22" s="16">
        <v>16.0</v>
      </c>
      <c r="B22" s="12"/>
      <c r="C22" s="12"/>
      <c r="D22" s="12"/>
      <c r="E22" s="12"/>
      <c r="F22" s="12"/>
      <c r="G22" s="12"/>
      <c r="H22" s="12"/>
    </row>
    <row r="23" ht="21.75" customHeight="1">
      <c r="A23" s="16">
        <v>17.0</v>
      </c>
      <c r="B23" s="12"/>
      <c r="C23" s="12"/>
      <c r="D23" s="12"/>
      <c r="E23" s="12"/>
      <c r="F23" s="12"/>
      <c r="G23" s="12"/>
      <c r="H23" s="12"/>
    </row>
    <row r="24" ht="21.75" customHeight="1">
      <c r="A24" s="16">
        <v>18.0</v>
      </c>
      <c r="B24" s="12"/>
      <c r="C24" s="12"/>
      <c r="D24" s="12"/>
      <c r="E24" s="12"/>
      <c r="F24" s="12"/>
      <c r="G24" s="12"/>
      <c r="H24" s="12"/>
    </row>
    <row r="25" ht="21.75" customHeight="1">
      <c r="A25" s="16">
        <v>19.0</v>
      </c>
      <c r="B25" s="12"/>
      <c r="C25" s="12"/>
      <c r="D25" s="12"/>
      <c r="E25" s="12"/>
      <c r="F25" s="12"/>
      <c r="G25" s="12"/>
      <c r="H25" s="12"/>
    </row>
    <row r="26" ht="21.75" customHeight="1">
      <c r="A26" s="16">
        <v>20.0</v>
      </c>
      <c r="B26" s="12"/>
      <c r="C26" s="12"/>
      <c r="D26" s="12"/>
      <c r="E26" s="12"/>
      <c r="F26" s="12"/>
      <c r="G26" s="12"/>
      <c r="H26" s="12"/>
    </row>
    <row r="27" ht="21.75" customHeight="1">
      <c r="A27" s="16">
        <v>21.0</v>
      </c>
      <c r="B27" s="12"/>
      <c r="C27" s="12"/>
      <c r="D27" s="12"/>
      <c r="E27" s="12"/>
      <c r="F27" s="12"/>
      <c r="G27" s="12"/>
      <c r="H27" s="12"/>
    </row>
    <row r="28" ht="21.75" customHeight="1">
      <c r="A28" s="16">
        <v>22.0</v>
      </c>
      <c r="B28" s="12"/>
      <c r="C28" s="12"/>
      <c r="D28" s="12"/>
      <c r="E28" s="12"/>
      <c r="F28" s="12"/>
      <c r="G28" s="12"/>
      <c r="H28" s="12"/>
    </row>
    <row r="29" ht="21.75" customHeight="1">
      <c r="A29" s="16">
        <v>23.0</v>
      </c>
      <c r="B29" s="12"/>
      <c r="C29" s="12"/>
      <c r="D29" s="12"/>
      <c r="E29" s="12"/>
      <c r="F29" s="12"/>
      <c r="G29" s="12"/>
      <c r="H29" s="12"/>
    </row>
    <row r="30" ht="21.75" customHeight="1">
      <c r="A30" s="16">
        <v>24.0</v>
      </c>
      <c r="B30" s="12"/>
      <c r="C30" s="12"/>
      <c r="D30" s="12"/>
      <c r="E30" s="12"/>
      <c r="F30" s="12"/>
      <c r="G30" s="12"/>
      <c r="H30" s="12"/>
    </row>
    <row r="31" ht="21.75" customHeight="1">
      <c r="A31" s="16">
        <v>25.0</v>
      </c>
      <c r="B31" s="12"/>
      <c r="C31" s="12"/>
      <c r="D31" s="12"/>
      <c r="E31" s="12"/>
      <c r="F31" s="12"/>
      <c r="G31" s="12"/>
      <c r="H31" s="12"/>
    </row>
    <row r="32" ht="21.75" customHeight="1">
      <c r="A32" s="16">
        <v>26.0</v>
      </c>
      <c r="B32" s="12"/>
      <c r="C32" s="12"/>
      <c r="D32" s="12"/>
      <c r="E32" s="12"/>
      <c r="F32" s="12"/>
      <c r="G32" s="12"/>
      <c r="H32" s="12"/>
    </row>
    <row r="33" ht="21.75" customHeight="1">
      <c r="A33" s="16">
        <v>27.0</v>
      </c>
      <c r="B33" s="12"/>
      <c r="C33" s="12"/>
      <c r="D33" s="12"/>
      <c r="E33" s="12"/>
      <c r="F33" s="12"/>
      <c r="G33" s="12"/>
      <c r="H33" s="12"/>
    </row>
    <row r="34" ht="21.75" customHeight="1">
      <c r="A34" s="16">
        <v>28.0</v>
      </c>
      <c r="B34" s="12"/>
      <c r="C34" s="12"/>
      <c r="D34" s="12"/>
      <c r="E34" s="12"/>
      <c r="F34" s="12"/>
      <c r="G34" s="12"/>
      <c r="H34" s="12"/>
    </row>
    <row r="35" ht="21.75" customHeight="1">
      <c r="A35" s="16">
        <v>29.0</v>
      </c>
      <c r="B35" s="12"/>
      <c r="C35" s="12"/>
      <c r="D35" s="12"/>
      <c r="E35" s="12"/>
      <c r="F35" s="12"/>
      <c r="G35" s="12"/>
      <c r="H35" s="12"/>
    </row>
    <row r="36" ht="21.75" customHeight="1">
      <c r="A36" s="16">
        <v>30.0</v>
      </c>
      <c r="B36" s="12"/>
      <c r="C36" s="12"/>
      <c r="D36" s="12"/>
      <c r="E36" s="12"/>
      <c r="F36" s="12"/>
      <c r="G36" s="12"/>
      <c r="H36" s="12"/>
    </row>
    <row r="37" ht="21.75" customHeight="1">
      <c r="A37" s="16">
        <v>31.0</v>
      </c>
      <c r="B37" s="12"/>
      <c r="C37" s="12"/>
      <c r="D37" s="12"/>
      <c r="E37" s="12"/>
      <c r="F37" s="12"/>
      <c r="G37" s="12"/>
      <c r="H37" s="12"/>
    </row>
    <row r="38" ht="21.75" customHeight="1">
      <c r="A38" s="16">
        <v>32.0</v>
      </c>
      <c r="B38" s="12"/>
      <c r="C38" s="12"/>
      <c r="D38" s="12"/>
      <c r="E38" s="12"/>
      <c r="F38" s="12"/>
      <c r="G38" s="12"/>
      <c r="H38" s="12"/>
    </row>
    <row r="39" ht="21.75" customHeight="1">
      <c r="A39" s="16">
        <v>33.0</v>
      </c>
      <c r="B39" s="12"/>
      <c r="C39" s="12"/>
      <c r="D39" s="12"/>
      <c r="E39" s="12"/>
      <c r="F39" s="12"/>
      <c r="G39" s="12"/>
      <c r="H39" s="12"/>
    </row>
    <row r="40" ht="21.75" customHeight="1">
      <c r="A40" s="16">
        <v>34.0</v>
      </c>
      <c r="B40" s="12"/>
      <c r="C40" s="12"/>
      <c r="D40" s="12"/>
      <c r="E40" s="12"/>
      <c r="F40" s="12"/>
      <c r="G40" s="12"/>
      <c r="H40" s="12"/>
    </row>
    <row r="41" ht="21.75" customHeight="1">
      <c r="A41" s="16">
        <v>35.0</v>
      </c>
      <c r="B41" s="12"/>
      <c r="C41" s="12"/>
      <c r="D41" s="12"/>
      <c r="E41" s="12"/>
      <c r="F41" s="12"/>
      <c r="G41" s="12"/>
      <c r="H41" s="12"/>
    </row>
    <row r="42" ht="21.75" customHeight="1">
      <c r="A42" s="16">
        <v>36.0</v>
      </c>
      <c r="B42" s="12"/>
      <c r="C42" s="12"/>
      <c r="D42" s="12"/>
      <c r="E42" s="12"/>
      <c r="F42" s="12"/>
      <c r="G42" s="12"/>
      <c r="H42" s="12"/>
    </row>
    <row r="43" ht="21.75" customHeight="1">
      <c r="A43" s="16">
        <v>37.0</v>
      </c>
      <c r="B43" s="12"/>
      <c r="C43" s="12"/>
      <c r="D43" s="12"/>
      <c r="E43" s="12"/>
      <c r="F43" s="12"/>
      <c r="G43" s="12"/>
      <c r="H43" s="12"/>
    </row>
    <row r="44" ht="21.75" customHeight="1">
      <c r="A44" s="16">
        <v>38.0</v>
      </c>
      <c r="B44" s="12"/>
      <c r="C44" s="12"/>
      <c r="D44" s="12"/>
      <c r="E44" s="12"/>
      <c r="F44" s="12"/>
      <c r="G44" s="12"/>
      <c r="H44" s="12"/>
    </row>
    <row r="45" ht="21.75" customHeight="1">
      <c r="A45" s="16">
        <v>39.0</v>
      </c>
      <c r="B45" s="12"/>
      <c r="C45" s="12"/>
      <c r="D45" s="12"/>
      <c r="E45" s="12"/>
      <c r="F45" s="12"/>
      <c r="G45" s="12"/>
      <c r="H45" s="12"/>
    </row>
    <row r="46" ht="21.75" customHeight="1">
      <c r="A46" s="16">
        <v>40.0</v>
      </c>
      <c r="B46" s="12"/>
      <c r="C46" s="12"/>
      <c r="D46" s="12"/>
      <c r="E46" s="12"/>
      <c r="F46" s="12"/>
      <c r="G46" s="12"/>
      <c r="H46" s="12"/>
    </row>
    <row r="47" ht="21.75" customHeight="1">
      <c r="A47" s="16">
        <v>41.0</v>
      </c>
      <c r="B47" s="12"/>
      <c r="C47" s="12"/>
      <c r="D47" s="12"/>
      <c r="E47" s="12"/>
      <c r="F47" s="12"/>
      <c r="G47" s="12"/>
      <c r="H47" s="12"/>
    </row>
    <row r="48" ht="21.75" customHeight="1">
      <c r="A48" s="16">
        <v>42.0</v>
      </c>
      <c r="B48" s="12"/>
      <c r="C48" s="12"/>
      <c r="D48" s="12"/>
      <c r="E48" s="12"/>
      <c r="F48" s="12"/>
      <c r="G48" s="12"/>
      <c r="H48" s="12"/>
    </row>
    <row r="49" ht="21.75" customHeight="1">
      <c r="A49" s="16">
        <v>43.0</v>
      </c>
      <c r="B49" s="12"/>
      <c r="C49" s="12"/>
      <c r="D49" s="12"/>
      <c r="E49" s="12"/>
      <c r="F49" s="12"/>
      <c r="G49" s="12"/>
      <c r="H49" s="12"/>
    </row>
    <row r="50" ht="21.75" customHeight="1">
      <c r="A50" s="16">
        <v>44.0</v>
      </c>
      <c r="B50" s="12"/>
      <c r="C50" s="12"/>
      <c r="D50" s="12"/>
      <c r="E50" s="12"/>
      <c r="F50" s="12"/>
      <c r="G50" s="12"/>
      <c r="H50" s="12"/>
    </row>
    <row r="51" ht="21.75" customHeight="1">
      <c r="A51" s="16">
        <v>45.0</v>
      </c>
      <c r="B51" s="12"/>
      <c r="C51" s="12"/>
      <c r="D51" s="12"/>
      <c r="E51" s="12"/>
      <c r="F51" s="12"/>
      <c r="G51" s="12"/>
      <c r="H51" s="12"/>
    </row>
    <row r="52" ht="21.75" customHeight="1">
      <c r="A52" s="16">
        <v>46.0</v>
      </c>
      <c r="B52" s="12"/>
      <c r="C52" s="12"/>
      <c r="D52" s="12"/>
      <c r="E52" s="12"/>
      <c r="F52" s="12"/>
      <c r="G52" s="12"/>
      <c r="H52" s="12"/>
    </row>
    <row r="53" ht="21.75" customHeight="1">
      <c r="A53" s="16">
        <v>47.0</v>
      </c>
      <c r="B53" s="12"/>
      <c r="C53" s="12"/>
      <c r="D53" s="12"/>
      <c r="E53" s="12"/>
      <c r="F53" s="12"/>
      <c r="G53" s="12"/>
      <c r="H53" s="12"/>
    </row>
    <row r="54" ht="21.75" customHeight="1">
      <c r="A54" s="16">
        <v>48.0</v>
      </c>
      <c r="B54" s="12"/>
      <c r="C54" s="12"/>
      <c r="D54" s="12"/>
      <c r="E54" s="12"/>
      <c r="F54" s="12"/>
      <c r="G54" s="12"/>
      <c r="H54" s="12"/>
    </row>
    <row r="55" ht="21.75" customHeight="1">
      <c r="A55" s="16">
        <v>49.0</v>
      </c>
      <c r="B55" s="12"/>
      <c r="C55" s="12"/>
      <c r="D55" s="12"/>
      <c r="E55" s="12"/>
      <c r="F55" s="12"/>
      <c r="G55" s="12"/>
      <c r="H55" s="12"/>
    </row>
    <row r="56" ht="21.75" customHeight="1">
      <c r="A56" s="16">
        <f t="shared" ref="A56:A220" si="1">A55+1</f>
        <v>50</v>
      </c>
      <c r="B56" s="12"/>
      <c r="C56" s="12"/>
      <c r="D56" s="12"/>
      <c r="E56" s="12"/>
      <c r="F56" s="12"/>
      <c r="G56" s="12"/>
      <c r="H56" s="12"/>
    </row>
    <row r="57" ht="21.75" customHeight="1">
      <c r="A57" s="16">
        <f t="shared" si="1"/>
        <v>51</v>
      </c>
      <c r="B57" s="12"/>
      <c r="C57" s="12"/>
      <c r="D57" s="12"/>
      <c r="E57" s="12"/>
      <c r="F57" s="12"/>
      <c r="G57" s="12"/>
      <c r="H57" s="12"/>
    </row>
    <row r="58" ht="21.75" customHeight="1">
      <c r="A58" s="16">
        <f t="shared" si="1"/>
        <v>52</v>
      </c>
      <c r="B58" s="12"/>
      <c r="C58" s="12"/>
      <c r="D58" s="12"/>
      <c r="E58" s="12"/>
      <c r="F58" s="12"/>
      <c r="G58" s="12"/>
      <c r="H58" s="12"/>
    </row>
    <row r="59" ht="21.75" customHeight="1">
      <c r="A59" s="16">
        <f t="shared" si="1"/>
        <v>53</v>
      </c>
      <c r="B59" s="12"/>
      <c r="C59" s="12"/>
      <c r="D59" s="12"/>
      <c r="E59" s="12"/>
      <c r="F59" s="12"/>
      <c r="G59" s="12"/>
      <c r="H59" s="12"/>
    </row>
    <row r="60" ht="21.75" customHeight="1">
      <c r="A60" s="16">
        <f t="shared" si="1"/>
        <v>54</v>
      </c>
      <c r="B60" s="12"/>
      <c r="C60" s="12"/>
      <c r="D60" s="12"/>
      <c r="E60" s="12"/>
      <c r="F60" s="12"/>
      <c r="G60" s="12"/>
      <c r="H60" s="12"/>
    </row>
    <row r="61" ht="21.75" customHeight="1">
      <c r="A61" s="16">
        <f t="shared" si="1"/>
        <v>55</v>
      </c>
      <c r="B61" s="12"/>
      <c r="C61" s="12"/>
      <c r="D61" s="12"/>
      <c r="E61" s="12"/>
      <c r="F61" s="12"/>
      <c r="G61" s="12"/>
      <c r="H61" s="12"/>
    </row>
    <row r="62" ht="21.75" customHeight="1">
      <c r="A62" s="16">
        <f t="shared" si="1"/>
        <v>56</v>
      </c>
      <c r="B62" s="12"/>
      <c r="C62" s="12"/>
      <c r="D62" s="12"/>
      <c r="E62" s="12"/>
      <c r="F62" s="12"/>
      <c r="G62" s="12"/>
      <c r="H62" s="12"/>
    </row>
    <row r="63" ht="21.75" customHeight="1">
      <c r="A63" s="16">
        <f t="shared" si="1"/>
        <v>57</v>
      </c>
      <c r="B63" s="12"/>
      <c r="C63" s="12"/>
      <c r="D63" s="12"/>
      <c r="E63" s="12"/>
      <c r="F63" s="12"/>
      <c r="G63" s="12"/>
      <c r="H63" s="12"/>
    </row>
    <row r="64" ht="21.75" customHeight="1">
      <c r="A64" s="16">
        <f t="shared" si="1"/>
        <v>58</v>
      </c>
      <c r="B64" s="12"/>
      <c r="C64" s="12"/>
      <c r="D64" s="12"/>
      <c r="E64" s="12"/>
      <c r="F64" s="12"/>
      <c r="G64" s="12"/>
      <c r="H64" s="12"/>
    </row>
    <row r="65" ht="21.75" customHeight="1">
      <c r="A65" s="16">
        <f t="shared" si="1"/>
        <v>59</v>
      </c>
      <c r="B65" s="12"/>
      <c r="C65" s="12"/>
      <c r="D65" s="12"/>
      <c r="E65" s="12"/>
      <c r="F65" s="12"/>
      <c r="G65" s="12"/>
      <c r="H65" s="12"/>
    </row>
    <row r="66" ht="21.75" customHeight="1">
      <c r="A66" s="16">
        <f t="shared" si="1"/>
        <v>60</v>
      </c>
      <c r="B66" s="12"/>
      <c r="C66" s="12"/>
      <c r="D66" s="12"/>
      <c r="E66" s="12"/>
      <c r="F66" s="12"/>
      <c r="G66" s="12"/>
      <c r="H66" s="12"/>
    </row>
    <row r="67" ht="21.75" customHeight="1">
      <c r="A67" s="16">
        <f t="shared" si="1"/>
        <v>61</v>
      </c>
      <c r="B67" s="12"/>
      <c r="C67" s="12"/>
      <c r="D67" s="12"/>
      <c r="E67" s="12"/>
      <c r="F67" s="12"/>
      <c r="G67" s="12"/>
      <c r="H67" s="12"/>
    </row>
    <row r="68" ht="21.75" customHeight="1">
      <c r="A68" s="16">
        <f t="shared" si="1"/>
        <v>62</v>
      </c>
      <c r="B68" s="12"/>
      <c r="C68" s="12"/>
      <c r="D68" s="12"/>
      <c r="E68" s="12"/>
      <c r="F68" s="12"/>
      <c r="G68" s="12"/>
      <c r="H68" s="12"/>
    </row>
    <row r="69" ht="21.75" customHeight="1">
      <c r="A69" s="16">
        <f t="shared" si="1"/>
        <v>63</v>
      </c>
      <c r="B69" s="12"/>
      <c r="C69" s="12"/>
      <c r="D69" s="12"/>
      <c r="E69" s="12"/>
      <c r="F69" s="12"/>
      <c r="G69" s="12"/>
      <c r="H69" s="12"/>
    </row>
    <row r="70" ht="21.75" customHeight="1">
      <c r="A70" s="16">
        <f t="shared" si="1"/>
        <v>64</v>
      </c>
      <c r="B70" s="12"/>
      <c r="C70" s="12"/>
      <c r="D70" s="12"/>
      <c r="E70" s="12"/>
      <c r="F70" s="12"/>
      <c r="G70" s="12"/>
      <c r="H70" s="12"/>
    </row>
    <row r="71" ht="21.75" customHeight="1">
      <c r="A71" s="16">
        <f t="shared" si="1"/>
        <v>65</v>
      </c>
      <c r="B71" s="12"/>
      <c r="C71" s="12"/>
      <c r="D71" s="12"/>
      <c r="E71" s="12"/>
      <c r="F71" s="12"/>
      <c r="G71" s="12"/>
      <c r="H71" s="12"/>
    </row>
    <row r="72" ht="21.75" customHeight="1">
      <c r="A72" s="16">
        <f t="shared" si="1"/>
        <v>66</v>
      </c>
      <c r="B72" s="12"/>
      <c r="C72" s="12"/>
      <c r="D72" s="12"/>
      <c r="E72" s="12"/>
      <c r="F72" s="12"/>
      <c r="G72" s="12"/>
      <c r="H72" s="12"/>
    </row>
    <row r="73" ht="21.75" customHeight="1">
      <c r="A73" s="16">
        <f t="shared" si="1"/>
        <v>67</v>
      </c>
      <c r="B73" s="12"/>
      <c r="C73" s="12"/>
      <c r="D73" s="12"/>
      <c r="E73" s="12"/>
      <c r="F73" s="12"/>
      <c r="G73" s="12"/>
      <c r="H73" s="12"/>
    </row>
    <row r="74" ht="21.75" customHeight="1">
      <c r="A74" s="16">
        <f t="shared" si="1"/>
        <v>68</v>
      </c>
      <c r="B74" s="12"/>
      <c r="C74" s="12"/>
      <c r="D74" s="12"/>
      <c r="E74" s="12"/>
      <c r="F74" s="12"/>
      <c r="G74" s="12"/>
      <c r="H74" s="12"/>
    </row>
    <row r="75" ht="21.75" customHeight="1">
      <c r="A75" s="16">
        <f t="shared" si="1"/>
        <v>69</v>
      </c>
      <c r="B75" s="12"/>
      <c r="C75" s="12"/>
      <c r="D75" s="12"/>
      <c r="E75" s="12"/>
      <c r="F75" s="12"/>
      <c r="G75" s="12"/>
      <c r="H75" s="12"/>
    </row>
    <row r="76" ht="21.75" customHeight="1">
      <c r="A76" s="16">
        <f t="shared" si="1"/>
        <v>70</v>
      </c>
      <c r="B76" s="12"/>
      <c r="C76" s="12"/>
      <c r="D76" s="12"/>
      <c r="E76" s="12"/>
      <c r="F76" s="12"/>
      <c r="G76" s="12"/>
      <c r="H76" s="12"/>
    </row>
    <row r="77" ht="21.75" customHeight="1">
      <c r="A77" s="16">
        <f t="shared" si="1"/>
        <v>71</v>
      </c>
      <c r="B77" s="12"/>
      <c r="C77" s="12"/>
      <c r="D77" s="12"/>
      <c r="E77" s="12"/>
      <c r="F77" s="12"/>
      <c r="G77" s="12"/>
      <c r="H77" s="12"/>
    </row>
    <row r="78" ht="21.75" customHeight="1">
      <c r="A78" s="16">
        <f t="shared" si="1"/>
        <v>72</v>
      </c>
      <c r="B78" s="12"/>
      <c r="C78" s="12"/>
      <c r="D78" s="12"/>
      <c r="E78" s="12"/>
      <c r="F78" s="12"/>
      <c r="G78" s="12"/>
      <c r="H78" s="12"/>
    </row>
    <row r="79" ht="21.75" customHeight="1">
      <c r="A79" s="16">
        <f t="shared" si="1"/>
        <v>73</v>
      </c>
      <c r="B79" s="12"/>
      <c r="C79" s="12"/>
      <c r="D79" s="12"/>
      <c r="E79" s="12"/>
      <c r="F79" s="12"/>
      <c r="G79" s="12"/>
      <c r="H79" s="12"/>
    </row>
    <row r="80" ht="21.75" customHeight="1">
      <c r="A80" s="16">
        <f t="shared" si="1"/>
        <v>74</v>
      </c>
      <c r="B80" s="12"/>
      <c r="C80" s="12"/>
      <c r="D80" s="12"/>
      <c r="E80" s="12"/>
      <c r="F80" s="12"/>
      <c r="G80" s="12"/>
      <c r="H80" s="12"/>
    </row>
    <row r="81" ht="21.75" customHeight="1">
      <c r="A81" s="16">
        <f t="shared" si="1"/>
        <v>75</v>
      </c>
      <c r="B81" s="12"/>
      <c r="C81" s="12"/>
      <c r="D81" s="12"/>
      <c r="E81" s="12"/>
      <c r="F81" s="12"/>
      <c r="G81" s="12"/>
      <c r="H81" s="12"/>
    </row>
    <row r="82" ht="21.75" customHeight="1">
      <c r="A82" s="16">
        <f t="shared" si="1"/>
        <v>76</v>
      </c>
      <c r="B82" s="12"/>
      <c r="C82" s="12"/>
      <c r="D82" s="12"/>
      <c r="E82" s="12"/>
      <c r="F82" s="12"/>
      <c r="G82" s="12"/>
      <c r="H82" s="12"/>
    </row>
    <row r="83" ht="21.75" customHeight="1">
      <c r="A83" s="16">
        <f t="shared" si="1"/>
        <v>77</v>
      </c>
      <c r="B83" s="12"/>
      <c r="C83" s="12"/>
      <c r="D83" s="12"/>
      <c r="E83" s="12"/>
      <c r="F83" s="12"/>
      <c r="G83" s="12"/>
      <c r="H83" s="12"/>
    </row>
    <row r="84" ht="21.75" customHeight="1">
      <c r="A84" s="16">
        <f t="shared" si="1"/>
        <v>78</v>
      </c>
      <c r="B84" s="12"/>
      <c r="C84" s="12"/>
      <c r="D84" s="12"/>
      <c r="E84" s="12"/>
      <c r="F84" s="12"/>
      <c r="G84" s="12"/>
      <c r="H84" s="12"/>
    </row>
    <row r="85" ht="21.75" customHeight="1">
      <c r="A85" s="16">
        <f t="shared" si="1"/>
        <v>79</v>
      </c>
      <c r="B85" s="12"/>
      <c r="C85" s="12"/>
      <c r="D85" s="12"/>
      <c r="E85" s="12"/>
      <c r="F85" s="12"/>
      <c r="G85" s="12"/>
      <c r="H85" s="12"/>
    </row>
    <row r="86" ht="21.75" customHeight="1">
      <c r="A86" s="16">
        <f t="shared" si="1"/>
        <v>80</v>
      </c>
      <c r="B86" s="12"/>
      <c r="C86" s="12"/>
      <c r="D86" s="12"/>
      <c r="E86" s="12"/>
      <c r="F86" s="12"/>
      <c r="G86" s="12"/>
      <c r="H86" s="12"/>
    </row>
    <row r="87" ht="21.75" customHeight="1">
      <c r="A87" s="16">
        <f t="shared" si="1"/>
        <v>81</v>
      </c>
      <c r="B87" s="12"/>
      <c r="C87" s="12"/>
      <c r="D87" s="12"/>
      <c r="E87" s="12"/>
      <c r="F87" s="12"/>
      <c r="G87" s="12"/>
      <c r="H87" s="12"/>
    </row>
    <row r="88" ht="21.75" customHeight="1">
      <c r="A88" s="16">
        <f t="shared" si="1"/>
        <v>82</v>
      </c>
      <c r="B88" s="12"/>
      <c r="C88" s="12"/>
      <c r="D88" s="12"/>
      <c r="E88" s="12"/>
      <c r="F88" s="12"/>
      <c r="G88" s="12"/>
      <c r="H88" s="12"/>
    </row>
    <row r="89" ht="21.75" customHeight="1">
      <c r="A89" s="16">
        <f t="shared" si="1"/>
        <v>83</v>
      </c>
      <c r="B89" s="12"/>
      <c r="C89" s="12"/>
      <c r="D89" s="12"/>
      <c r="E89" s="12"/>
      <c r="F89" s="12"/>
      <c r="G89" s="12"/>
      <c r="H89" s="12"/>
    </row>
    <row r="90" ht="21.75" customHeight="1">
      <c r="A90" s="16">
        <f t="shared" si="1"/>
        <v>84</v>
      </c>
      <c r="B90" s="12"/>
      <c r="C90" s="12"/>
      <c r="D90" s="12"/>
      <c r="E90" s="12"/>
      <c r="F90" s="12"/>
      <c r="G90" s="12"/>
      <c r="H90" s="12"/>
    </row>
    <row r="91" ht="21.75" customHeight="1">
      <c r="A91" s="16">
        <f t="shared" si="1"/>
        <v>85</v>
      </c>
      <c r="B91" s="12"/>
      <c r="C91" s="12"/>
      <c r="D91" s="12"/>
      <c r="E91" s="12"/>
      <c r="F91" s="12"/>
      <c r="G91" s="12"/>
      <c r="H91" s="12"/>
    </row>
    <row r="92" ht="21.75" customHeight="1">
      <c r="A92" s="16">
        <f t="shared" si="1"/>
        <v>86</v>
      </c>
      <c r="B92" s="12"/>
      <c r="C92" s="12"/>
      <c r="D92" s="12"/>
      <c r="E92" s="12"/>
      <c r="F92" s="12"/>
      <c r="G92" s="12"/>
      <c r="H92" s="12"/>
    </row>
    <row r="93" ht="21.75" customHeight="1">
      <c r="A93" s="16">
        <f t="shared" si="1"/>
        <v>87</v>
      </c>
      <c r="B93" s="12"/>
      <c r="C93" s="12"/>
      <c r="D93" s="12"/>
      <c r="E93" s="12"/>
      <c r="F93" s="12"/>
      <c r="G93" s="12"/>
      <c r="H93" s="12"/>
    </row>
    <row r="94" ht="21.75" customHeight="1">
      <c r="A94" s="16">
        <f t="shared" si="1"/>
        <v>88</v>
      </c>
      <c r="B94" s="12"/>
      <c r="C94" s="12"/>
      <c r="D94" s="12"/>
      <c r="E94" s="12"/>
      <c r="F94" s="12"/>
      <c r="G94" s="12"/>
      <c r="H94" s="12"/>
    </row>
    <row r="95" ht="21.75" customHeight="1">
      <c r="A95" s="16">
        <f t="shared" si="1"/>
        <v>89</v>
      </c>
      <c r="B95" s="12"/>
      <c r="C95" s="12"/>
      <c r="D95" s="12"/>
      <c r="E95" s="12"/>
      <c r="F95" s="12"/>
      <c r="G95" s="12"/>
      <c r="H95" s="12"/>
    </row>
    <row r="96" ht="21.75" customHeight="1">
      <c r="A96" s="16">
        <f t="shared" si="1"/>
        <v>90</v>
      </c>
      <c r="B96" s="12"/>
      <c r="C96" s="12"/>
      <c r="D96" s="12"/>
      <c r="E96" s="12"/>
      <c r="F96" s="12"/>
      <c r="G96" s="12"/>
      <c r="H96" s="12"/>
    </row>
    <row r="97" ht="21.75" customHeight="1">
      <c r="A97" s="16">
        <f t="shared" si="1"/>
        <v>91</v>
      </c>
      <c r="B97" s="12"/>
      <c r="C97" s="12"/>
      <c r="D97" s="12"/>
      <c r="E97" s="12"/>
      <c r="F97" s="12"/>
      <c r="G97" s="12"/>
      <c r="H97" s="12"/>
    </row>
    <row r="98" ht="21.75" customHeight="1">
      <c r="A98" s="16">
        <f t="shared" si="1"/>
        <v>92</v>
      </c>
      <c r="B98" s="12"/>
      <c r="C98" s="12"/>
      <c r="D98" s="12"/>
      <c r="E98" s="12"/>
      <c r="F98" s="12"/>
      <c r="G98" s="12"/>
      <c r="H98" s="12"/>
    </row>
    <row r="99" ht="21.75" customHeight="1">
      <c r="A99" s="16">
        <f t="shared" si="1"/>
        <v>93</v>
      </c>
      <c r="B99" s="12"/>
      <c r="C99" s="12"/>
      <c r="D99" s="12"/>
      <c r="E99" s="12"/>
      <c r="F99" s="12"/>
      <c r="G99" s="12"/>
      <c r="H99" s="12"/>
    </row>
    <row r="100" ht="21.75" customHeight="1">
      <c r="A100" s="16">
        <f t="shared" si="1"/>
        <v>94</v>
      </c>
      <c r="B100" s="12"/>
      <c r="C100" s="12"/>
      <c r="D100" s="12"/>
      <c r="E100" s="12"/>
      <c r="F100" s="12"/>
      <c r="G100" s="12"/>
      <c r="H100" s="12"/>
    </row>
    <row r="101" ht="21.75" customHeight="1">
      <c r="A101" s="16">
        <f t="shared" si="1"/>
        <v>95</v>
      </c>
      <c r="B101" s="12"/>
      <c r="C101" s="12"/>
      <c r="D101" s="12"/>
      <c r="E101" s="12"/>
      <c r="F101" s="12"/>
      <c r="G101" s="12"/>
      <c r="H101" s="12"/>
    </row>
    <row r="102" ht="21.75" customHeight="1">
      <c r="A102" s="16">
        <f t="shared" si="1"/>
        <v>96</v>
      </c>
      <c r="B102" s="12"/>
      <c r="C102" s="12"/>
      <c r="D102" s="12"/>
      <c r="E102" s="12"/>
      <c r="F102" s="12"/>
      <c r="G102" s="12"/>
      <c r="H102" s="12"/>
    </row>
    <row r="103" ht="21.75" customHeight="1">
      <c r="A103" s="16">
        <f t="shared" si="1"/>
        <v>97</v>
      </c>
      <c r="B103" s="12"/>
      <c r="C103" s="12"/>
      <c r="D103" s="12"/>
      <c r="E103" s="12"/>
      <c r="F103" s="12"/>
      <c r="G103" s="12"/>
      <c r="H103" s="12"/>
    </row>
    <row r="104" ht="21.75" customHeight="1">
      <c r="A104" s="16">
        <f t="shared" si="1"/>
        <v>98</v>
      </c>
      <c r="B104" s="12"/>
      <c r="C104" s="12"/>
      <c r="D104" s="12"/>
      <c r="E104" s="12"/>
      <c r="F104" s="12"/>
      <c r="G104" s="12"/>
      <c r="H104" s="12"/>
    </row>
    <row r="105" ht="21.75" customHeight="1">
      <c r="A105" s="16">
        <f t="shared" si="1"/>
        <v>99</v>
      </c>
      <c r="B105" s="12"/>
      <c r="C105" s="12"/>
      <c r="D105" s="12"/>
      <c r="E105" s="12"/>
      <c r="F105" s="12"/>
      <c r="G105" s="12"/>
      <c r="H105" s="12"/>
    </row>
    <row r="106" ht="21.75" customHeight="1">
      <c r="A106" s="16">
        <f t="shared" si="1"/>
        <v>100</v>
      </c>
      <c r="B106" s="12"/>
      <c r="C106" s="12"/>
      <c r="D106" s="12"/>
      <c r="E106" s="12"/>
      <c r="F106" s="12"/>
      <c r="G106" s="12"/>
      <c r="H106" s="12"/>
    </row>
    <row r="107" ht="21.75" customHeight="1">
      <c r="A107" s="16">
        <f t="shared" si="1"/>
        <v>101</v>
      </c>
      <c r="B107" s="12"/>
      <c r="C107" s="12"/>
      <c r="D107" s="12"/>
      <c r="E107" s="12"/>
      <c r="F107" s="12"/>
      <c r="G107" s="12"/>
      <c r="H107" s="12"/>
    </row>
    <row r="108" ht="21.75" customHeight="1">
      <c r="A108" s="16">
        <f t="shared" si="1"/>
        <v>102</v>
      </c>
      <c r="B108" s="12"/>
      <c r="C108" s="12"/>
      <c r="D108" s="12"/>
      <c r="E108" s="12"/>
      <c r="F108" s="12"/>
      <c r="G108" s="12"/>
      <c r="H108" s="12"/>
    </row>
    <row r="109" ht="21.75" customHeight="1">
      <c r="A109" s="16">
        <f t="shared" si="1"/>
        <v>103</v>
      </c>
      <c r="B109" s="12"/>
      <c r="C109" s="12"/>
      <c r="D109" s="12"/>
      <c r="E109" s="12"/>
      <c r="F109" s="12"/>
      <c r="G109" s="12"/>
      <c r="H109" s="12"/>
    </row>
    <row r="110" ht="21.75" customHeight="1">
      <c r="A110" s="16">
        <f t="shared" si="1"/>
        <v>104</v>
      </c>
      <c r="B110" s="12"/>
      <c r="C110" s="12"/>
      <c r="D110" s="12"/>
      <c r="E110" s="12"/>
      <c r="F110" s="12"/>
      <c r="G110" s="12"/>
      <c r="H110" s="12"/>
    </row>
    <row r="111" ht="21.75" customHeight="1">
      <c r="A111" s="16">
        <f t="shared" si="1"/>
        <v>105</v>
      </c>
      <c r="B111" s="12"/>
      <c r="C111" s="12"/>
      <c r="D111" s="12"/>
      <c r="E111" s="12"/>
      <c r="F111" s="12"/>
      <c r="G111" s="12"/>
      <c r="H111" s="12"/>
    </row>
    <row r="112" ht="21.75" customHeight="1">
      <c r="A112" s="16">
        <f t="shared" si="1"/>
        <v>106</v>
      </c>
      <c r="B112" s="12"/>
      <c r="C112" s="12"/>
      <c r="D112" s="12"/>
      <c r="E112" s="12"/>
      <c r="F112" s="12"/>
      <c r="G112" s="12"/>
      <c r="H112" s="12"/>
    </row>
    <row r="113" ht="21.75" customHeight="1">
      <c r="A113" s="16">
        <f t="shared" si="1"/>
        <v>107</v>
      </c>
      <c r="B113" s="12"/>
      <c r="C113" s="12"/>
      <c r="D113" s="12"/>
      <c r="E113" s="12"/>
      <c r="F113" s="12"/>
      <c r="G113" s="12"/>
      <c r="H113" s="12"/>
    </row>
    <row r="114" ht="21.75" customHeight="1">
      <c r="A114" s="16">
        <f t="shared" si="1"/>
        <v>108</v>
      </c>
      <c r="B114" s="12"/>
      <c r="C114" s="12"/>
      <c r="D114" s="12"/>
      <c r="E114" s="12"/>
      <c r="F114" s="12"/>
      <c r="G114" s="12"/>
      <c r="H114" s="12"/>
    </row>
    <row r="115" ht="21.75" customHeight="1">
      <c r="A115" s="16">
        <f t="shared" si="1"/>
        <v>109</v>
      </c>
      <c r="B115" s="12"/>
      <c r="C115" s="12"/>
      <c r="D115" s="12"/>
      <c r="E115" s="12"/>
      <c r="F115" s="12"/>
      <c r="G115" s="12"/>
      <c r="H115" s="12"/>
    </row>
    <row r="116" ht="21.75" customHeight="1">
      <c r="A116" s="16">
        <f t="shared" si="1"/>
        <v>110</v>
      </c>
      <c r="B116" s="12"/>
      <c r="C116" s="12"/>
      <c r="D116" s="12"/>
      <c r="E116" s="12"/>
      <c r="F116" s="12"/>
      <c r="G116" s="12"/>
      <c r="H116" s="12"/>
    </row>
    <row r="117" ht="21.75" customHeight="1">
      <c r="A117" s="16">
        <f t="shared" si="1"/>
        <v>111</v>
      </c>
      <c r="B117" s="12"/>
      <c r="C117" s="12"/>
      <c r="D117" s="12"/>
      <c r="E117" s="12"/>
      <c r="F117" s="12"/>
      <c r="G117" s="12"/>
      <c r="H117" s="12"/>
    </row>
    <row r="118" ht="21.75" customHeight="1">
      <c r="A118" s="16">
        <f t="shared" si="1"/>
        <v>112</v>
      </c>
      <c r="B118" s="12"/>
      <c r="C118" s="12"/>
      <c r="D118" s="12"/>
      <c r="E118" s="12"/>
      <c r="F118" s="12"/>
      <c r="G118" s="12"/>
      <c r="H118" s="12"/>
    </row>
    <row r="119" ht="21.75" customHeight="1">
      <c r="A119" s="16">
        <f t="shared" si="1"/>
        <v>113</v>
      </c>
      <c r="B119" s="12"/>
      <c r="C119" s="12"/>
      <c r="D119" s="12"/>
      <c r="E119" s="12"/>
      <c r="F119" s="12"/>
      <c r="G119" s="12"/>
      <c r="H119" s="12"/>
    </row>
    <row r="120" ht="21.75" customHeight="1">
      <c r="A120" s="16">
        <f t="shared" si="1"/>
        <v>114</v>
      </c>
      <c r="B120" s="12"/>
      <c r="C120" s="12"/>
      <c r="D120" s="12"/>
      <c r="E120" s="12"/>
      <c r="F120" s="12"/>
      <c r="G120" s="12"/>
      <c r="H120" s="12"/>
    </row>
    <row r="121" ht="21.75" customHeight="1">
      <c r="A121" s="16">
        <f t="shared" si="1"/>
        <v>115</v>
      </c>
      <c r="B121" s="12"/>
      <c r="C121" s="12"/>
      <c r="D121" s="12"/>
      <c r="E121" s="12"/>
      <c r="F121" s="12"/>
      <c r="G121" s="12"/>
      <c r="H121" s="12"/>
    </row>
    <row r="122" ht="21.75" customHeight="1">
      <c r="A122" s="16">
        <f t="shared" si="1"/>
        <v>116</v>
      </c>
      <c r="B122" s="12"/>
      <c r="C122" s="12"/>
      <c r="D122" s="12"/>
      <c r="E122" s="12"/>
      <c r="F122" s="12"/>
      <c r="G122" s="12"/>
      <c r="H122" s="12"/>
    </row>
    <row r="123" ht="21.75" customHeight="1">
      <c r="A123" s="16">
        <f t="shared" si="1"/>
        <v>117</v>
      </c>
      <c r="B123" s="12"/>
      <c r="C123" s="12"/>
      <c r="D123" s="12"/>
      <c r="E123" s="12"/>
      <c r="F123" s="12"/>
      <c r="G123" s="12"/>
      <c r="H123" s="12"/>
    </row>
    <row r="124" ht="21.75" customHeight="1">
      <c r="A124" s="16">
        <f t="shared" si="1"/>
        <v>118</v>
      </c>
      <c r="B124" s="12"/>
      <c r="C124" s="12"/>
      <c r="D124" s="12"/>
      <c r="E124" s="12"/>
      <c r="F124" s="12"/>
      <c r="G124" s="12"/>
      <c r="H124" s="12"/>
    </row>
    <row r="125" ht="21.75" customHeight="1">
      <c r="A125" s="16">
        <f t="shared" si="1"/>
        <v>119</v>
      </c>
      <c r="B125" s="12"/>
      <c r="C125" s="12"/>
      <c r="D125" s="12"/>
      <c r="E125" s="12"/>
      <c r="F125" s="12"/>
      <c r="G125" s="12"/>
      <c r="H125" s="12"/>
    </row>
    <row r="126" ht="21.75" customHeight="1">
      <c r="A126" s="16">
        <f t="shared" si="1"/>
        <v>120</v>
      </c>
      <c r="B126" s="12"/>
      <c r="C126" s="12"/>
      <c r="D126" s="12"/>
      <c r="E126" s="12"/>
      <c r="F126" s="12"/>
      <c r="G126" s="12"/>
      <c r="H126" s="12"/>
    </row>
    <row r="127" ht="21.75" customHeight="1">
      <c r="A127" s="16">
        <f t="shared" si="1"/>
        <v>121</v>
      </c>
      <c r="B127" s="12"/>
      <c r="C127" s="12"/>
      <c r="D127" s="12"/>
      <c r="E127" s="12"/>
      <c r="F127" s="12"/>
      <c r="G127" s="12"/>
      <c r="H127" s="12"/>
    </row>
    <row r="128" ht="21.75" customHeight="1">
      <c r="A128" s="16">
        <f t="shared" si="1"/>
        <v>122</v>
      </c>
      <c r="B128" s="12"/>
      <c r="C128" s="12"/>
      <c r="D128" s="12"/>
      <c r="E128" s="12"/>
      <c r="F128" s="12"/>
      <c r="G128" s="12"/>
      <c r="H128" s="12"/>
    </row>
    <row r="129" ht="21.75" customHeight="1">
      <c r="A129" s="16">
        <f t="shared" si="1"/>
        <v>123</v>
      </c>
      <c r="B129" s="12"/>
      <c r="C129" s="12"/>
      <c r="D129" s="12"/>
      <c r="E129" s="12"/>
      <c r="F129" s="12"/>
      <c r="G129" s="12"/>
      <c r="H129" s="12"/>
    </row>
    <row r="130" ht="21.75" customHeight="1">
      <c r="A130" s="16">
        <f t="shared" si="1"/>
        <v>124</v>
      </c>
      <c r="B130" s="12"/>
      <c r="C130" s="12"/>
      <c r="D130" s="12"/>
      <c r="E130" s="12"/>
      <c r="F130" s="12"/>
      <c r="G130" s="12"/>
      <c r="H130" s="12"/>
    </row>
    <row r="131" ht="21.75" customHeight="1">
      <c r="A131" s="16">
        <f t="shared" si="1"/>
        <v>125</v>
      </c>
      <c r="B131" s="12"/>
      <c r="C131" s="12"/>
      <c r="D131" s="12"/>
      <c r="E131" s="12"/>
      <c r="F131" s="12"/>
      <c r="G131" s="12"/>
      <c r="H131" s="12"/>
    </row>
    <row r="132" ht="21.75" customHeight="1">
      <c r="A132" s="16">
        <f t="shared" si="1"/>
        <v>126</v>
      </c>
      <c r="B132" s="12"/>
      <c r="C132" s="12"/>
      <c r="D132" s="12"/>
      <c r="E132" s="12"/>
      <c r="F132" s="12"/>
      <c r="G132" s="12"/>
      <c r="H132" s="12"/>
    </row>
    <row r="133" ht="21.75" customHeight="1">
      <c r="A133" s="16">
        <f t="shared" si="1"/>
        <v>127</v>
      </c>
      <c r="B133" s="12"/>
      <c r="C133" s="12"/>
      <c r="D133" s="12"/>
      <c r="E133" s="12"/>
      <c r="F133" s="12"/>
      <c r="G133" s="12"/>
      <c r="H133" s="12"/>
    </row>
    <row r="134" ht="21.75" customHeight="1">
      <c r="A134" s="16">
        <f t="shared" si="1"/>
        <v>128</v>
      </c>
      <c r="B134" s="12"/>
      <c r="C134" s="12"/>
      <c r="D134" s="12"/>
      <c r="E134" s="12"/>
      <c r="F134" s="12"/>
      <c r="G134" s="12"/>
      <c r="H134" s="12"/>
    </row>
    <row r="135" ht="21.75" customHeight="1">
      <c r="A135" s="16">
        <f t="shared" si="1"/>
        <v>129</v>
      </c>
      <c r="B135" s="12"/>
      <c r="C135" s="12"/>
      <c r="D135" s="12"/>
      <c r="E135" s="12"/>
      <c r="F135" s="12"/>
      <c r="G135" s="12"/>
      <c r="H135" s="12"/>
    </row>
    <row r="136" ht="21.75" customHeight="1">
      <c r="A136" s="16">
        <f t="shared" si="1"/>
        <v>130</v>
      </c>
      <c r="B136" s="12"/>
      <c r="C136" s="12"/>
      <c r="D136" s="12"/>
      <c r="E136" s="12"/>
      <c r="F136" s="12"/>
      <c r="G136" s="12"/>
      <c r="H136" s="12"/>
    </row>
    <row r="137" ht="21.75" customHeight="1">
      <c r="A137" s="16">
        <f t="shared" si="1"/>
        <v>131</v>
      </c>
      <c r="B137" s="12"/>
      <c r="C137" s="12"/>
      <c r="D137" s="12"/>
      <c r="E137" s="12"/>
      <c r="F137" s="12"/>
      <c r="G137" s="12"/>
      <c r="H137" s="12"/>
    </row>
    <row r="138" ht="21.75" customHeight="1">
      <c r="A138" s="16">
        <f t="shared" si="1"/>
        <v>132</v>
      </c>
      <c r="B138" s="12"/>
      <c r="C138" s="12"/>
      <c r="D138" s="12"/>
      <c r="E138" s="12"/>
      <c r="F138" s="12"/>
      <c r="G138" s="12"/>
      <c r="H138" s="12"/>
    </row>
    <row r="139" ht="21.75" customHeight="1">
      <c r="A139" s="16">
        <f t="shared" si="1"/>
        <v>133</v>
      </c>
      <c r="B139" s="12"/>
      <c r="C139" s="12"/>
      <c r="D139" s="12"/>
      <c r="E139" s="12"/>
      <c r="F139" s="12"/>
      <c r="G139" s="12"/>
      <c r="H139" s="12"/>
    </row>
    <row r="140" ht="21.75" customHeight="1">
      <c r="A140" s="16">
        <f t="shared" si="1"/>
        <v>134</v>
      </c>
      <c r="B140" s="12"/>
      <c r="C140" s="12"/>
      <c r="D140" s="12"/>
      <c r="E140" s="12"/>
      <c r="F140" s="12"/>
      <c r="G140" s="12"/>
      <c r="H140" s="12"/>
    </row>
    <row r="141" ht="21.75" customHeight="1">
      <c r="A141" s="16">
        <f t="shared" si="1"/>
        <v>135</v>
      </c>
      <c r="B141" s="12"/>
      <c r="C141" s="12"/>
      <c r="D141" s="12"/>
      <c r="E141" s="12"/>
      <c r="F141" s="12"/>
      <c r="G141" s="12"/>
      <c r="H141" s="12"/>
    </row>
    <row r="142" ht="21.75" customHeight="1">
      <c r="A142" s="16">
        <f t="shared" si="1"/>
        <v>136</v>
      </c>
      <c r="B142" s="12"/>
      <c r="C142" s="12"/>
      <c r="D142" s="12"/>
      <c r="E142" s="12"/>
      <c r="F142" s="12"/>
      <c r="G142" s="12"/>
      <c r="H142" s="12"/>
    </row>
    <row r="143" ht="21.75" customHeight="1">
      <c r="A143" s="16">
        <f t="shared" si="1"/>
        <v>137</v>
      </c>
      <c r="B143" s="12"/>
      <c r="C143" s="12"/>
      <c r="D143" s="12"/>
      <c r="E143" s="12"/>
      <c r="F143" s="12"/>
      <c r="G143" s="12"/>
      <c r="H143" s="12"/>
    </row>
    <row r="144" ht="21.75" customHeight="1">
      <c r="A144" s="16">
        <f t="shared" si="1"/>
        <v>138</v>
      </c>
      <c r="B144" s="12"/>
      <c r="C144" s="12"/>
      <c r="D144" s="12"/>
      <c r="E144" s="12"/>
      <c r="F144" s="12"/>
      <c r="G144" s="12"/>
      <c r="H144" s="12"/>
    </row>
    <row r="145" ht="21.75" customHeight="1">
      <c r="A145" s="16">
        <f t="shared" si="1"/>
        <v>139</v>
      </c>
      <c r="B145" s="12"/>
      <c r="C145" s="12"/>
      <c r="D145" s="12"/>
      <c r="E145" s="12"/>
      <c r="F145" s="12"/>
      <c r="G145" s="12"/>
      <c r="H145" s="12"/>
    </row>
    <row r="146" ht="21.75" customHeight="1">
      <c r="A146" s="16">
        <f t="shared" si="1"/>
        <v>140</v>
      </c>
      <c r="B146" s="12"/>
      <c r="C146" s="12"/>
      <c r="D146" s="12"/>
      <c r="E146" s="12"/>
      <c r="F146" s="12"/>
      <c r="G146" s="12"/>
      <c r="H146" s="12"/>
    </row>
    <row r="147" ht="21.75" customHeight="1">
      <c r="A147" s="16">
        <f t="shared" si="1"/>
        <v>141</v>
      </c>
      <c r="B147" s="12"/>
      <c r="C147" s="12"/>
      <c r="D147" s="12"/>
      <c r="E147" s="12"/>
      <c r="F147" s="12"/>
      <c r="G147" s="12"/>
      <c r="H147" s="12"/>
    </row>
    <row r="148" ht="21.75" customHeight="1">
      <c r="A148" s="16">
        <f t="shared" si="1"/>
        <v>142</v>
      </c>
      <c r="B148" s="12"/>
      <c r="C148" s="12"/>
      <c r="D148" s="12"/>
      <c r="E148" s="12"/>
      <c r="F148" s="12"/>
      <c r="G148" s="12"/>
      <c r="H148" s="12"/>
    </row>
    <row r="149" ht="21.75" customHeight="1">
      <c r="A149" s="16">
        <f t="shared" si="1"/>
        <v>143</v>
      </c>
      <c r="B149" s="12"/>
      <c r="C149" s="12"/>
      <c r="D149" s="12"/>
      <c r="E149" s="12"/>
      <c r="F149" s="12"/>
      <c r="G149" s="12"/>
      <c r="H149" s="12"/>
    </row>
    <row r="150" ht="21.75" customHeight="1">
      <c r="A150" s="16">
        <f t="shared" si="1"/>
        <v>144</v>
      </c>
      <c r="B150" s="12"/>
      <c r="C150" s="12"/>
      <c r="D150" s="12"/>
      <c r="E150" s="12"/>
      <c r="F150" s="12"/>
      <c r="G150" s="12"/>
      <c r="H150" s="12"/>
    </row>
    <row r="151" ht="21.75" customHeight="1">
      <c r="A151" s="16">
        <f t="shared" si="1"/>
        <v>145</v>
      </c>
      <c r="B151" s="12"/>
      <c r="C151" s="12"/>
      <c r="D151" s="12"/>
      <c r="E151" s="12"/>
      <c r="F151" s="12"/>
      <c r="G151" s="12"/>
      <c r="H151" s="12"/>
    </row>
    <row r="152" ht="21.75" customHeight="1">
      <c r="A152" s="16">
        <f t="shared" si="1"/>
        <v>146</v>
      </c>
      <c r="B152" s="12"/>
      <c r="C152" s="12"/>
      <c r="D152" s="12"/>
      <c r="E152" s="12"/>
      <c r="F152" s="12"/>
      <c r="G152" s="12"/>
      <c r="H152" s="12"/>
    </row>
    <row r="153" ht="21.75" customHeight="1">
      <c r="A153" s="16">
        <f t="shared" si="1"/>
        <v>147</v>
      </c>
      <c r="B153" s="12"/>
      <c r="C153" s="12"/>
      <c r="D153" s="12"/>
      <c r="E153" s="12"/>
      <c r="F153" s="12"/>
      <c r="G153" s="12"/>
      <c r="H153" s="12"/>
    </row>
    <row r="154" ht="21.75" customHeight="1">
      <c r="A154" s="16">
        <f t="shared" si="1"/>
        <v>148</v>
      </c>
      <c r="B154" s="12"/>
      <c r="C154" s="12"/>
      <c r="D154" s="12"/>
      <c r="E154" s="12"/>
      <c r="F154" s="12"/>
      <c r="G154" s="12"/>
      <c r="H154" s="12"/>
    </row>
    <row r="155" ht="21.75" customHeight="1">
      <c r="A155" s="16">
        <f t="shared" si="1"/>
        <v>149</v>
      </c>
      <c r="B155" s="12"/>
      <c r="C155" s="12"/>
      <c r="D155" s="12"/>
      <c r="E155" s="12"/>
      <c r="F155" s="12"/>
      <c r="G155" s="12"/>
      <c r="H155" s="12"/>
    </row>
    <row r="156" ht="21.75" customHeight="1">
      <c r="A156" s="16">
        <f t="shared" si="1"/>
        <v>150</v>
      </c>
      <c r="B156" s="12"/>
      <c r="C156" s="12"/>
      <c r="D156" s="12"/>
      <c r="E156" s="12"/>
      <c r="F156" s="12"/>
      <c r="G156" s="12"/>
      <c r="H156" s="12"/>
    </row>
    <row r="157" ht="21.75" customHeight="1">
      <c r="A157" s="16">
        <f t="shared" si="1"/>
        <v>151</v>
      </c>
      <c r="B157" s="12"/>
      <c r="C157" s="12"/>
      <c r="D157" s="12"/>
      <c r="E157" s="12"/>
      <c r="F157" s="12"/>
      <c r="G157" s="12"/>
      <c r="H157" s="12"/>
    </row>
    <row r="158" ht="21.75" customHeight="1">
      <c r="A158" s="16">
        <f t="shared" si="1"/>
        <v>152</v>
      </c>
      <c r="B158" s="12"/>
      <c r="C158" s="12"/>
      <c r="D158" s="12"/>
      <c r="E158" s="12"/>
      <c r="F158" s="12"/>
      <c r="G158" s="12"/>
      <c r="H158" s="12"/>
    </row>
    <row r="159" ht="21.75" customHeight="1">
      <c r="A159" s="16">
        <f t="shared" si="1"/>
        <v>153</v>
      </c>
      <c r="B159" s="12"/>
      <c r="C159" s="12"/>
      <c r="D159" s="12"/>
      <c r="E159" s="12"/>
      <c r="F159" s="12"/>
      <c r="G159" s="12"/>
      <c r="H159" s="12"/>
    </row>
    <row r="160" ht="21.75" customHeight="1">
      <c r="A160" s="16">
        <f t="shared" si="1"/>
        <v>154</v>
      </c>
      <c r="B160" s="12"/>
      <c r="C160" s="12"/>
      <c r="D160" s="12"/>
      <c r="E160" s="12"/>
      <c r="F160" s="12"/>
      <c r="G160" s="12"/>
      <c r="H160" s="12"/>
    </row>
    <row r="161" ht="21.75" customHeight="1">
      <c r="A161" s="16">
        <f t="shared" si="1"/>
        <v>155</v>
      </c>
      <c r="B161" s="12"/>
      <c r="C161" s="12"/>
      <c r="D161" s="12"/>
      <c r="E161" s="12"/>
      <c r="F161" s="12"/>
      <c r="G161" s="12"/>
      <c r="H161" s="12"/>
    </row>
    <row r="162" ht="21.75" customHeight="1">
      <c r="A162" s="16">
        <f t="shared" si="1"/>
        <v>156</v>
      </c>
      <c r="B162" s="12"/>
      <c r="C162" s="12"/>
      <c r="D162" s="12"/>
      <c r="E162" s="12"/>
      <c r="F162" s="12"/>
      <c r="G162" s="12"/>
      <c r="H162" s="12"/>
    </row>
    <row r="163" ht="21.75" customHeight="1">
      <c r="A163" s="16">
        <f t="shared" si="1"/>
        <v>157</v>
      </c>
      <c r="B163" s="12"/>
      <c r="C163" s="12"/>
      <c r="D163" s="12"/>
      <c r="E163" s="12"/>
      <c r="F163" s="12"/>
      <c r="G163" s="12"/>
      <c r="H163" s="12"/>
    </row>
    <row r="164" ht="21.75" customHeight="1">
      <c r="A164" s="16">
        <f t="shared" si="1"/>
        <v>158</v>
      </c>
      <c r="B164" s="12"/>
      <c r="C164" s="12"/>
      <c r="D164" s="12"/>
      <c r="E164" s="12"/>
      <c r="F164" s="12"/>
      <c r="G164" s="12"/>
      <c r="H164" s="12"/>
    </row>
    <row r="165" ht="21.75" customHeight="1">
      <c r="A165" s="16">
        <f t="shared" si="1"/>
        <v>159</v>
      </c>
      <c r="B165" s="12"/>
      <c r="C165" s="12"/>
      <c r="D165" s="12"/>
      <c r="E165" s="12"/>
      <c r="F165" s="12"/>
      <c r="G165" s="12"/>
      <c r="H165" s="12"/>
    </row>
    <row r="166" ht="21.75" customHeight="1">
      <c r="A166" s="16">
        <f t="shared" si="1"/>
        <v>160</v>
      </c>
      <c r="B166" s="12"/>
      <c r="C166" s="12"/>
      <c r="D166" s="12"/>
      <c r="E166" s="12"/>
      <c r="F166" s="12"/>
      <c r="G166" s="12"/>
      <c r="H166" s="12"/>
    </row>
    <row r="167" ht="21.75" customHeight="1">
      <c r="A167" s="16">
        <f t="shared" si="1"/>
        <v>161</v>
      </c>
      <c r="B167" s="12"/>
      <c r="C167" s="12"/>
      <c r="D167" s="12"/>
      <c r="E167" s="12"/>
      <c r="F167" s="12"/>
      <c r="G167" s="12"/>
      <c r="H167" s="12"/>
    </row>
    <row r="168" ht="21.75" customHeight="1">
      <c r="A168" s="16">
        <f t="shared" si="1"/>
        <v>162</v>
      </c>
      <c r="B168" s="12"/>
      <c r="C168" s="12"/>
      <c r="D168" s="12"/>
      <c r="E168" s="12"/>
      <c r="F168" s="12"/>
      <c r="G168" s="12"/>
      <c r="H168" s="12"/>
    </row>
    <row r="169" ht="21.75" customHeight="1">
      <c r="A169" s="16">
        <f t="shared" si="1"/>
        <v>163</v>
      </c>
      <c r="B169" s="12"/>
      <c r="C169" s="12"/>
      <c r="D169" s="12"/>
      <c r="E169" s="12"/>
      <c r="F169" s="12"/>
      <c r="G169" s="12"/>
      <c r="H169" s="12"/>
    </row>
    <row r="170" ht="21.75" customHeight="1">
      <c r="A170" s="16">
        <f t="shared" si="1"/>
        <v>164</v>
      </c>
      <c r="B170" s="12"/>
      <c r="C170" s="12"/>
      <c r="D170" s="12"/>
      <c r="E170" s="12"/>
      <c r="F170" s="12"/>
      <c r="G170" s="12"/>
      <c r="H170" s="12"/>
    </row>
    <row r="171" ht="21.75" customHeight="1">
      <c r="A171" s="16">
        <f t="shared" si="1"/>
        <v>165</v>
      </c>
      <c r="B171" s="12"/>
      <c r="C171" s="12"/>
      <c r="D171" s="12"/>
      <c r="E171" s="12"/>
      <c r="F171" s="12"/>
      <c r="G171" s="12"/>
      <c r="H171" s="12"/>
    </row>
    <row r="172" ht="21.75" customHeight="1">
      <c r="A172" s="16">
        <f t="shared" si="1"/>
        <v>166</v>
      </c>
      <c r="B172" s="12"/>
      <c r="C172" s="12"/>
      <c r="D172" s="12"/>
      <c r="E172" s="12"/>
      <c r="F172" s="12"/>
      <c r="G172" s="12"/>
      <c r="H172" s="12"/>
    </row>
    <row r="173" ht="21.75" customHeight="1">
      <c r="A173" s="16">
        <f t="shared" si="1"/>
        <v>167</v>
      </c>
      <c r="B173" s="12"/>
      <c r="C173" s="12"/>
      <c r="D173" s="12"/>
      <c r="E173" s="12"/>
      <c r="F173" s="12"/>
      <c r="G173" s="12"/>
      <c r="H173" s="12"/>
    </row>
    <row r="174" ht="21.75" customHeight="1">
      <c r="A174" s="16">
        <f t="shared" si="1"/>
        <v>168</v>
      </c>
      <c r="B174" s="12"/>
      <c r="C174" s="12"/>
      <c r="D174" s="12"/>
      <c r="E174" s="12"/>
      <c r="F174" s="12"/>
      <c r="G174" s="12"/>
      <c r="H174" s="12"/>
    </row>
    <row r="175" ht="21.75" customHeight="1">
      <c r="A175" s="16">
        <f t="shared" si="1"/>
        <v>169</v>
      </c>
      <c r="B175" s="12"/>
      <c r="C175" s="12"/>
      <c r="D175" s="12"/>
      <c r="E175" s="12"/>
      <c r="F175" s="12"/>
      <c r="G175" s="12"/>
      <c r="H175" s="12"/>
    </row>
    <row r="176" ht="21.75" customHeight="1">
      <c r="A176" s="16">
        <f t="shared" si="1"/>
        <v>170</v>
      </c>
      <c r="B176" s="12"/>
      <c r="C176" s="12"/>
      <c r="D176" s="12"/>
      <c r="E176" s="12"/>
      <c r="F176" s="12"/>
      <c r="G176" s="12"/>
      <c r="H176" s="12"/>
    </row>
    <row r="177" ht="21.75" customHeight="1">
      <c r="A177" s="16">
        <f t="shared" si="1"/>
        <v>171</v>
      </c>
      <c r="B177" s="12"/>
      <c r="C177" s="12"/>
      <c r="D177" s="12"/>
      <c r="E177" s="12"/>
      <c r="F177" s="12"/>
      <c r="G177" s="12"/>
      <c r="H177" s="12"/>
    </row>
    <row r="178" ht="21.75" customHeight="1">
      <c r="A178" s="16">
        <f t="shared" si="1"/>
        <v>172</v>
      </c>
      <c r="B178" s="12"/>
      <c r="C178" s="12"/>
      <c r="D178" s="12"/>
      <c r="E178" s="12"/>
      <c r="F178" s="12"/>
      <c r="G178" s="12"/>
      <c r="H178" s="12"/>
    </row>
    <row r="179" ht="21.75" customHeight="1">
      <c r="A179" s="16">
        <f t="shared" si="1"/>
        <v>173</v>
      </c>
      <c r="B179" s="12"/>
      <c r="C179" s="12"/>
      <c r="D179" s="12"/>
      <c r="E179" s="12"/>
      <c r="F179" s="12"/>
      <c r="G179" s="12"/>
      <c r="H179" s="12"/>
    </row>
    <row r="180" ht="21.75" customHeight="1">
      <c r="A180" s="16">
        <f t="shared" si="1"/>
        <v>174</v>
      </c>
      <c r="B180" s="12"/>
      <c r="C180" s="12"/>
      <c r="D180" s="12"/>
      <c r="E180" s="12"/>
      <c r="F180" s="12"/>
      <c r="G180" s="12"/>
      <c r="H180" s="12"/>
    </row>
    <row r="181" ht="21.75" customHeight="1">
      <c r="A181" s="16">
        <f t="shared" si="1"/>
        <v>175</v>
      </c>
      <c r="B181" s="12"/>
      <c r="C181" s="12"/>
      <c r="D181" s="12"/>
      <c r="E181" s="12"/>
      <c r="F181" s="12"/>
      <c r="G181" s="12"/>
      <c r="H181" s="12"/>
    </row>
    <row r="182" ht="21.75" customHeight="1">
      <c r="A182" s="16">
        <f t="shared" si="1"/>
        <v>176</v>
      </c>
      <c r="B182" s="12"/>
      <c r="C182" s="12"/>
      <c r="D182" s="12"/>
      <c r="E182" s="12"/>
      <c r="F182" s="12"/>
      <c r="G182" s="12"/>
      <c r="H182" s="12"/>
    </row>
    <row r="183" ht="21.75" customHeight="1">
      <c r="A183" s="16">
        <f t="shared" si="1"/>
        <v>177</v>
      </c>
      <c r="B183" s="12"/>
      <c r="C183" s="12"/>
      <c r="D183" s="12"/>
      <c r="E183" s="12"/>
      <c r="F183" s="12"/>
      <c r="G183" s="12"/>
      <c r="H183" s="12"/>
    </row>
    <row r="184" ht="21.75" customHeight="1">
      <c r="A184" s="16">
        <f t="shared" si="1"/>
        <v>178</v>
      </c>
      <c r="B184" s="12"/>
      <c r="C184" s="12"/>
      <c r="D184" s="12"/>
      <c r="E184" s="12"/>
      <c r="F184" s="12"/>
      <c r="G184" s="12"/>
      <c r="H184" s="12"/>
    </row>
    <row r="185" ht="21.75" customHeight="1">
      <c r="A185" s="16">
        <f t="shared" si="1"/>
        <v>179</v>
      </c>
      <c r="B185" s="12"/>
      <c r="C185" s="12"/>
      <c r="D185" s="12"/>
      <c r="E185" s="12"/>
      <c r="F185" s="12"/>
      <c r="G185" s="12"/>
      <c r="H185" s="12"/>
    </row>
    <row r="186" ht="21.75" customHeight="1">
      <c r="A186" s="16">
        <f t="shared" si="1"/>
        <v>180</v>
      </c>
      <c r="B186" s="12"/>
      <c r="C186" s="12"/>
      <c r="D186" s="12"/>
      <c r="E186" s="12"/>
      <c r="F186" s="12"/>
      <c r="G186" s="12"/>
      <c r="H186" s="12"/>
    </row>
    <row r="187" ht="21.75" customHeight="1">
      <c r="A187" s="16">
        <f t="shared" si="1"/>
        <v>181</v>
      </c>
      <c r="B187" s="12"/>
      <c r="C187" s="12"/>
      <c r="D187" s="12"/>
      <c r="E187" s="12"/>
      <c r="F187" s="12"/>
      <c r="G187" s="12"/>
      <c r="H187" s="12"/>
    </row>
    <row r="188" ht="21.75" customHeight="1">
      <c r="A188" s="16">
        <f t="shared" si="1"/>
        <v>182</v>
      </c>
      <c r="B188" s="12"/>
      <c r="C188" s="12"/>
      <c r="D188" s="12"/>
      <c r="E188" s="12"/>
      <c r="F188" s="12"/>
      <c r="G188" s="12"/>
      <c r="H188" s="12"/>
    </row>
    <row r="189" ht="21.75" customHeight="1">
      <c r="A189" s="16">
        <f t="shared" si="1"/>
        <v>183</v>
      </c>
      <c r="B189" s="12"/>
      <c r="C189" s="12"/>
      <c r="D189" s="12"/>
      <c r="E189" s="12"/>
      <c r="F189" s="12"/>
      <c r="G189" s="12"/>
      <c r="H189" s="12"/>
    </row>
    <row r="190" ht="21.75" customHeight="1">
      <c r="A190" s="16">
        <f t="shared" si="1"/>
        <v>184</v>
      </c>
      <c r="B190" s="12"/>
      <c r="C190" s="12"/>
      <c r="D190" s="12"/>
      <c r="E190" s="12"/>
      <c r="F190" s="12"/>
      <c r="G190" s="12"/>
      <c r="H190" s="12"/>
    </row>
    <row r="191" ht="21.75" customHeight="1">
      <c r="A191" s="16">
        <f t="shared" si="1"/>
        <v>185</v>
      </c>
      <c r="B191" s="12"/>
      <c r="C191" s="12"/>
      <c r="D191" s="12"/>
      <c r="E191" s="12"/>
      <c r="F191" s="12"/>
      <c r="G191" s="12"/>
      <c r="H191" s="12"/>
    </row>
    <row r="192" ht="21.75" customHeight="1">
      <c r="A192" s="16">
        <f t="shared" si="1"/>
        <v>186</v>
      </c>
      <c r="B192" s="12"/>
      <c r="C192" s="12"/>
      <c r="D192" s="12"/>
      <c r="E192" s="12"/>
      <c r="F192" s="12"/>
      <c r="G192" s="12"/>
      <c r="H192" s="12"/>
    </row>
    <row r="193" ht="21.75" customHeight="1">
      <c r="A193" s="16">
        <f t="shared" si="1"/>
        <v>187</v>
      </c>
      <c r="B193" s="12"/>
      <c r="C193" s="12"/>
      <c r="D193" s="12"/>
      <c r="E193" s="12"/>
      <c r="F193" s="12"/>
      <c r="G193" s="12"/>
      <c r="H193" s="12"/>
    </row>
    <row r="194" ht="21.75" customHeight="1">
      <c r="A194" s="16">
        <f t="shared" si="1"/>
        <v>188</v>
      </c>
      <c r="B194" s="12"/>
      <c r="C194" s="12"/>
      <c r="D194" s="12"/>
      <c r="E194" s="12"/>
      <c r="F194" s="12"/>
      <c r="G194" s="12"/>
      <c r="H194" s="12"/>
    </row>
    <row r="195" ht="21.75" customHeight="1">
      <c r="A195" s="16">
        <f t="shared" si="1"/>
        <v>189</v>
      </c>
      <c r="B195" s="12"/>
      <c r="C195" s="12"/>
      <c r="D195" s="12"/>
      <c r="E195" s="12"/>
      <c r="F195" s="12"/>
      <c r="G195" s="12"/>
      <c r="H195" s="12"/>
    </row>
    <row r="196" ht="21.75" customHeight="1">
      <c r="A196" s="16">
        <f t="shared" si="1"/>
        <v>190</v>
      </c>
      <c r="B196" s="12"/>
      <c r="C196" s="12"/>
      <c r="D196" s="12"/>
      <c r="E196" s="12"/>
      <c r="F196" s="12"/>
      <c r="G196" s="12"/>
      <c r="H196" s="12"/>
    </row>
    <row r="197" ht="21.75" customHeight="1">
      <c r="A197" s="16">
        <f t="shared" si="1"/>
        <v>191</v>
      </c>
      <c r="B197" s="12"/>
      <c r="C197" s="12"/>
      <c r="D197" s="12"/>
      <c r="E197" s="12"/>
      <c r="F197" s="12"/>
      <c r="G197" s="12"/>
      <c r="H197" s="12"/>
    </row>
    <row r="198" ht="21.75" customHeight="1">
      <c r="A198" s="16">
        <f t="shared" si="1"/>
        <v>192</v>
      </c>
      <c r="B198" s="12"/>
      <c r="C198" s="12"/>
      <c r="D198" s="12"/>
      <c r="E198" s="12"/>
      <c r="F198" s="12"/>
      <c r="G198" s="12"/>
      <c r="H198" s="12"/>
    </row>
    <row r="199" ht="21.75" customHeight="1">
      <c r="A199" s="16">
        <f t="shared" si="1"/>
        <v>193</v>
      </c>
      <c r="B199" s="12"/>
      <c r="C199" s="12"/>
      <c r="D199" s="12"/>
      <c r="E199" s="12"/>
      <c r="F199" s="12"/>
      <c r="G199" s="12"/>
      <c r="H199" s="12"/>
    </row>
    <row r="200" ht="21.75" customHeight="1">
      <c r="A200" s="16">
        <f t="shared" si="1"/>
        <v>194</v>
      </c>
      <c r="B200" s="12"/>
      <c r="C200" s="12"/>
      <c r="D200" s="12"/>
      <c r="E200" s="12"/>
      <c r="F200" s="12"/>
      <c r="G200" s="12"/>
      <c r="H200" s="12"/>
    </row>
    <row r="201" ht="21.75" customHeight="1">
      <c r="A201" s="16">
        <f t="shared" si="1"/>
        <v>195</v>
      </c>
      <c r="B201" s="12"/>
      <c r="C201" s="12"/>
      <c r="D201" s="12"/>
      <c r="E201" s="12"/>
      <c r="F201" s="12"/>
      <c r="G201" s="12"/>
      <c r="H201" s="12"/>
    </row>
    <row r="202" ht="21.75" customHeight="1">
      <c r="A202" s="16">
        <f t="shared" si="1"/>
        <v>196</v>
      </c>
      <c r="B202" s="12"/>
      <c r="C202" s="12"/>
      <c r="D202" s="12"/>
      <c r="E202" s="12"/>
      <c r="F202" s="12"/>
      <c r="G202" s="12"/>
      <c r="H202" s="12"/>
    </row>
    <row r="203" ht="21.75" customHeight="1">
      <c r="A203" s="16">
        <f t="shared" si="1"/>
        <v>197</v>
      </c>
      <c r="B203" s="12"/>
      <c r="C203" s="12"/>
      <c r="D203" s="12"/>
      <c r="E203" s="12"/>
      <c r="F203" s="12"/>
      <c r="G203" s="12"/>
      <c r="H203" s="12"/>
    </row>
    <row r="204" ht="21.75" customHeight="1">
      <c r="A204" s="16">
        <f t="shared" si="1"/>
        <v>198</v>
      </c>
      <c r="B204" s="12"/>
      <c r="C204" s="12"/>
      <c r="D204" s="12"/>
      <c r="E204" s="12"/>
      <c r="F204" s="12"/>
      <c r="G204" s="12"/>
      <c r="H204" s="12"/>
    </row>
    <row r="205" ht="21.75" customHeight="1">
      <c r="A205" s="16">
        <f t="shared" si="1"/>
        <v>199</v>
      </c>
      <c r="B205" s="12"/>
      <c r="C205" s="12"/>
      <c r="D205" s="12"/>
      <c r="E205" s="12"/>
      <c r="F205" s="12"/>
      <c r="G205" s="12"/>
      <c r="H205" s="12"/>
    </row>
    <row r="206" ht="21.75" customHeight="1">
      <c r="A206" s="16">
        <f t="shared" si="1"/>
        <v>200</v>
      </c>
      <c r="B206" s="12"/>
      <c r="C206" s="12"/>
      <c r="D206" s="12"/>
      <c r="E206" s="12"/>
      <c r="F206" s="12"/>
      <c r="G206" s="12"/>
      <c r="H206" s="12"/>
    </row>
    <row r="207" ht="21.75" customHeight="1">
      <c r="A207" s="16">
        <f t="shared" si="1"/>
        <v>201</v>
      </c>
      <c r="B207" s="12"/>
      <c r="C207" s="12"/>
      <c r="D207" s="12"/>
      <c r="E207" s="12"/>
      <c r="F207" s="12"/>
      <c r="G207" s="12"/>
      <c r="H207" s="12"/>
    </row>
    <row r="208" ht="21.75" customHeight="1">
      <c r="A208" s="16">
        <f t="shared" si="1"/>
        <v>202</v>
      </c>
      <c r="B208" s="12"/>
      <c r="C208" s="12"/>
      <c r="D208" s="12"/>
      <c r="E208" s="12"/>
      <c r="F208" s="12"/>
      <c r="G208" s="12"/>
      <c r="H208" s="12"/>
    </row>
    <row r="209" ht="21.75" customHeight="1">
      <c r="A209" s="16">
        <f t="shared" si="1"/>
        <v>203</v>
      </c>
      <c r="B209" s="12"/>
      <c r="C209" s="12"/>
      <c r="D209" s="12"/>
      <c r="E209" s="12"/>
      <c r="F209" s="12"/>
      <c r="G209" s="12"/>
      <c r="H209" s="12"/>
    </row>
    <row r="210" ht="21.75" customHeight="1">
      <c r="A210" s="16">
        <f t="shared" si="1"/>
        <v>204</v>
      </c>
      <c r="B210" s="12"/>
      <c r="C210" s="12"/>
      <c r="D210" s="12"/>
      <c r="E210" s="12"/>
      <c r="F210" s="12"/>
      <c r="G210" s="12"/>
      <c r="H210" s="12"/>
    </row>
    <row r="211" ht="21.75" customHeight="1">
      <c r="A211" s="16">
        <f t="shared" si="1"/>
        <v>205</v>
      </c>
      <c r="B211" s="12"/>
      <c r="C211" s="12"/>
      <c r="D211" s="12"/>
      <c r="E211" s="12"/>
      <c r="F211" s="12"/>
      <c r="G211" s="12"/>
      <c r="H211" s="12"/>
    </row>
    <row r="212" ht="21.75" customHeight="1">
      <c r="A212" s="16">
        <f t="shared" si="1"/>
        <v>206</v>
      </c>
      <c r="B212" s="12"/>
      <c r="C212" s="12"/>
      <c r="D212" s="12"/>
      <c r="E212" s="12"/>
      <c r="F212" s="12"/>
      <c r="G212" s="12"/>
      <c r="H212" s="12"/>
    </row>
    <row r="213" ht="21.75" customHeight="1">
      <c r="A213" s="16">
        <f t="shared" si="1"/>
        <v>207</v>
      </c>
      <c r="B213" s="12"/>
      <c r="C213" s="12"/>
      <c r="D213" s="12"/>
      <c r="E213" s="12"/>
      <c r="F213" s="12"/>
      <c r="G213" s="12"/>
      <c r="H213" s="12"/>
    </row>
    <row r="214" ht="21.75" customHeight="1">
      <c r="A214" s="16">
        <f t="shared" si="1"/>
        <v>208</v>
      </c>
      <c r="B214" s="12"/>
      <c r="C214" s="12"/>
      <c r="D214" s="12"/>
      <c r="E214" s="12"/>
      <c r="F214" s="12"/>
      <c r="G214" s="12"/>
      <c r="H214" s="12"/>
    </row>
    <row r="215" ht="21.75" customHeight="1">
      <c r="A215" s="16">
        <f t="shared" si="1"/>
        <v>209</v>
      </c>
      <c r="B215" s="12"/>
      <c r="C215" s="12"/>
      <c r="D215" s="12"/>
      <c r="E215" s="12"/>
      <c r="F215" s="12"/>
      <c r="G215" s="12"/>
      <c r="H215" s="12"/>
    </row>
    <row r="216" ht="21.75" customHeight="1">
      <c r="A216" s="16">
        <f t="shared" si="1"/>
        <v>210</v>
      </c>
      <c r="B216" s="12"/>
      <c r="C216" s="12"/>
      <c r="D216" s="12"/>
      <c r="E216" s="12"/>
      <c r="F216" s="12"/>
      <c r="G216" s="12"/>
      <c r="H216" s="12"/>
    </row>
    <row r="217" ht="21.75" customHeight="1">
      <c r="A217" s="16">
        <f t="shared" si="1"/>
        <v>211</v>
      </c>
      <c r="B217" s="12"/>
      <c r="C217" s="12"/>
      <c r="D217" s="12"/>
      <c r="E217" s="12"/>
      <c r="F217" s="12"/>
      <c r="G217" s="12"/>
      <c r="H217" s="12"/>
    </row>
    <row r="218" ht="21.75" customHeight="1">
      <c r="A218" s="16">
        <f t="shared" si="1"/>
        <v>212</v>
      </c>
      <c r="B218" s="12"/>
      <c r="C218" s="12"/>
      <c r="D218" s="12"/>
      <c r="E218" s="12"/>
      <c r="F218" s="12"/>
      <c r="G218" s="12"/>
      <c r="H218" s="12"/>
    </row>
    <row r="219" ht="21.75" customHeight="1">
      <c r="A219" s="16">
        <f t="shared" si="1"/>
        <v>213</v>
      </c>
      <c r="B219" s="12"/>
      <c r="C219" s="12"/>
      <c r="D219" s="12"/>
      <c r="E219" s="12"/>
      <c r="F219" s="12"/>
      <c r="G219" s="12"/>
      <c r="H219" s="12"/>
    </row>
    <row r="220" ht="21.75" customHeight="1">
      <c r="A220" s="16">
        <f t="shared" si="1"/>
        <v>214</v>
      </c>
      <c r="B220" s="12"/>
      <c r="C220" s="12"/>
      <c r="D220" s="12"/>
      <c r="E220" s="12"/>
      <c r="F220" s="12"/>
      <c r="G220" s="12"/>
      <c r="H220" s="12"/>
    </row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H3"/>
    <mergeCell ref="A4:H4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28.0"/>
    <col customWidth="1" min="3" max="3" width="32.0"/>
    <col customWidth="1" min="4" max="4" width="18.0"/>
    <col customWidth="1" min="5" max="5" width="16.57"/>
    <col customWidth="1" min="6" max="6" width="23.43"/>
    <col customWidth="1" min="7" max="7" width="10.0"/>
    <col customWidth="1" min="8" max="8" width="20.0"/>
    <col customWidth="1" min="9" max="9" width="28.0"/>
    <col customWidth="1" min="10" max="26" width="8.86"/>
  </cols>
  <sheetData>
    <row r="1" ht="21.75" customHeight="1">
      <c r="A1" s="8" t="s">
        <v>47</v>
      </c>
      <c r="B1" s="2"/>
      <c r="C1" s="2"/>
      <c r="D1" s="2"/>
      <c r="E1" s="2"/>
      <c r="F1" s="2"/>
      <c r="G1" s="2"/>
      <c r="H1" s="2"/>
      <c r="I1" s="2"/>
    </row>
    <row r="2" ht="21.75" customHeight="1">
      <c r="A2" s="3"/>
    </row>
    <row r="3" ht="21.75" customHeight="1">
      <c r="A3" s="3"/>
    </row>
    <row r="4" ht="21.75" customHeight="1">
      <c r="A4" s="9" t="s">
        <v>47</v>
      </c>
    </row>
    <row r="5" ht="21.75" customHeight="1"/>
    <row r="6" ht="21.75" customHeight="1">
      <c r="A6" s="15" t="s">
        <v>26</v>
      </c>
      <c r="B6" s="15" t="s">
        <v>48</v>
      </c>
      <c r="C6" s="15" t="s">
        <v>49</v>
      </c>
      <c r="D6" s="15" t="s">
        <v>50</v>
      </c>
      <c r="E6" s="15" t="s">
        <v>51</v>
      </c>
      <c r="F6" s="15" t="s">
        <v>52</v>
      </c>
      <c r="G6" s="15" t="s">
        <v>53</v>
      </c>
      <c r="H6" s="15" t="s">
        <v>54</v>
      </c>
      <c r="I6" s="15" t="s">
        <v>33</v>
      </c>
    </row>
    <row r="7" ht="21.75" customHeight="1">
      <c r="A7" s="16">
        <v>1.0</v>
      </c>
      <c r="B7" s="20" t="s">
        <v>34</v>
      </c>
      <c r="C7" s="20" t="s">
        <v>55</v>
      </c>
      <c r="D7" s="20" t="s">
        <v>56</v>
      </c>
      <c r="E7" s="20" t="s">
        <v>57</v>
      </c>
      <c r="F7" s="20">
        <v>10.0</v>
      </c>
      <c r="G7" s="20">
        <v>21.0</v>
      </c>
      <c r="H7" s="12"/>
      <c r="I7" s="12"/>
    </row>
    <row r="8" ht="21.75" customHeight="1">
      <c r="A8" s="16">
        <v>2.0</v>
      </c>
      <c r="B8" s="20" t="s">
        <v>34</v>
      </c>
      <c r="C8" s="20" t="s">
        <v>58</v>
      </c>
      <c r="D8" s="20" t="s">
        <v>56</v>
      </c>
      <c r="E8" s="20" t="s">
        <v>57</v>
      </c>
      <c r="F8" s="20">
        <v>10.0</v>
      </c>
      <c r="G8" s="20">
        <v>21.0</v>
      </c>
      <c r="H8" s="12"/>
      <c r="I8" s="12"/>
    </row>
    <row r="9" ht="21.75" customHeight="1">
      <c r="A9" s="16">
        <v>3.0</v>
      </c>
      <c r="B9" s="20" t="s">
        <v>34</v>
      </c>
      <c r="C9" s="20" t="s">
        <v>59</v>
      </c>
      <c r="D9" s="20" t="s">
        <v>60</v>
      </c>
      <c r="E9" s="20" t="s">
        <v>57</v>
      </c>
      <c r="F9" s="20">
        <v>10.0</v>
      </c>
      <c r="G9" s="20">
        <v>21.0</v>
      </c>
      <c r="H9" s="12"/>
      <c r="I9" s="12"/>
    </row>
    <row r="10" ht="21.75" customHeight="1">
      <c r="A10" s="16">
        <v>4.0</v>
      </c>
      <c r="B10" s="20" t="s">
        <v>34</v>
      </c>
      <c r="C10" s="20" t="s">
        <v>61</v>
      </c>
      <c r="D10" s="20" t="s">
        <v>62</v>
      </c>
      <c r="E10" s="20" t="s">
        <v>63</v>
      </c>
      <c r="F10" s="20">
        <v>5.0</v>
      </c>
      <c r="G10" s="20">
        <v>10.0</v>
      </c>
      <c r="H10" s="12"/>
      <c r="I10" s="12"/>
    </row>
    <row r="11" ht="21.75" customHeight="1">
      <c r="A11" s="16">
        <v>5.0</v>
      </c>
      <c r="B11" s="20" t="s">
        <v>39</v>
      </c>
      <c r="C11" s="20" t="s">
        <v>64</v>
      </c>
      <c r="D11" s="20" t="s">
        <v>65</v>
      </c>
      <c r="E11" s="20" t="s">
        <v>66</v>
      </c>
      <c r="F11" s="20">
        <v>80.0</v>
      </c>
      <c r="G11" s="20">
        <v>21.0</v>
      </c>
      <c r="H11" s="12"/>
      <c r="I11" s="12"/>
    </row>
    <row r="12" ht="21.75" customHeight="1">
      <c r="A12" s="16">
        <v>6.0</v>
      </c>
      <c r="B12" s="20" t="s">
        <v>39</v>
      </c>
      <c r="C12" s="20" t="s">
        <v>67</v>
      </c>
      <c r="D12" s="20" t="s">
        <v>65</v>
      </c>
      <c r="E12" s="20" t="s">
        <v>68</v>
      </c>
      <c r="F12" s="20">
        <v>5.0</v>
      </c>
      <c r="G12" s="20">
        <v>21.0</v>
      </c>
      <c r="H12" s="12"/>
      <c r="I12" s="12"/>
    </row>
    <row r="13" ht="21.75" customHeight="1">
      <c r="A13" s="16">
        <v>7.0</v>
      </c>
      <c r="B13" s="20" t="s">
        <v>39</v>
      </c>
      <c r="C13" s="20" t="s">
        <v>69</v>
      </c>
      <c r="D13" s="20" t="s">
        <v>65</v>
      </c>
      <c r="E13" s="20" t="s">
        <v>70</v>
      </c>
      <c r="F13" s="20">
        <v>20.0</v>
      </c>
      <c r="G13" s="20">
        <v>21.0</v>
      </c>
      <c r="H13" s="12"/>
      <c r="I13" s="12"/>
    </row>
    <row r="14" ht="21.75" customHeight="1">
      <c r="A14" s="16">
        <v>8.0</v>
      </c>
      <c r="B14" s="20" t="s">
        <v>39</v>
      </c>
      <c r="C14" s="20" t="s">
        <v>71</v>
      </c>
      <c r="D14" s="20" t="s">
        <v>65</v>
      </c>
      <c r="E14" s="20" t="s">
        <v>70</v>
      </c>
      <c r="F14" s="20">
        <v>20.0</v>
      </c>
      <c r="G14" s="20">
        <v>21.0</v>
      </c>
      <c r="H14" s="12"/>
      <c r="I14" s="12"/>
    </row>
    <row r="15" ht="21.75" customHeight="1">
      <c r="A15" s="16">
        <v>9.0</v>
      </c>
      <c r="B15" s="20" t="s">
        <v>41</v>
      </c>
      <c r="C15" s="20" t="s">
        <v>72</v>
      </c>
      <c r="D15" s="20" t="s">
        <v>73</v>
      </c>
      <c r="E15" s="20" t="s">
        <v>74</v>
      </c>
      <c r="F15" s="20">
        <v>15.0</v>
      </c>
      <c r="G15" s="20">
        <v>21.0</v>
      </c>
      <c r="H15" s="12"/>
      <c r="I15" s="12"/>
    </row>
    <row r="16" ht="21.75" customHeight="1">
      <c r="A16" s="16">
        <v>10.0</v>
      </c>
      <c r="B16" s="20" t="s">
        <v>41</v>
      </c>
      <c r="C16" s="20" t="s">
        <v>75</v>
      </c>
      <c r="D16" s="20" t="s">
        <v>73</v>
      </c>
      <c r="E16" s="20" t="s">
        <v>74</v>
      </c>
      <c r="F16" s="20">
        <v>15.0</v>
      </c>
      <c r="G16" s="20">
        <v>21.0</v>
      </c>
      <c r="H16" s="12"/>
      <c r="I16" s="12"/>
    </row>
    <row r="17" ht="21.75" customHeight="1">
      <c r="A17" s="16">
        <v>11.0</v>
      </c>
      <c r="B17" s="20" t="s">
        <v>43</v>
      </c>
      <c r="C17" s="20" t="s">
        <v>76</v>
      </c>
      <c r="D17" s="20" t="s">
        <v>77</v>
      </c>
      <c r="E17" s="20" t="s">
        <v>78</v>
      </c>
      <c r="F17" s="20">
        <v>20.0</v>
      </c>
      <c r="G17" s="20">
        <v>21.0</v>
      </c>
      <c r="H17" s="12"/>
      <c r="I17" s="12"/>
    </row>
    <row r="18" ht="21.75" customHeight="1">
      <c r="A18" s="16">
        <v>12.0</v>
      </c>
      <c r="B18" s="20" t="s">
        <v>43</v>
      </c>
      <c r="C18" s="20" t="s">
        <v>79</v>
      </c>
      <c r="D18" s="20" t="s">
        <v>77</v>
      </c>
      <c r="E18" s="20" t="s">
        <v>78</v>
      </c>
      <c r="F18" s="20">
        <v>20.0</v>
      </c>
      <c r="G18" s="20">
        <v>21.0</v>
      </c>
      <c r="H18" s="12"/>
      <c r="I18" s="12"/>
    </row>
    <row r="19" ht="21.75" customHeight="1">
      <c r="A19" s="16">
        <v>13.0</v>
      </c>
      <c r="B19" s="20" t="s">
        <v>43</v>
      </c>
      <c r="C19" s="20" t="s">
        <v>80</v>
      </c>
      <c r="D19" s="20" t="s">
        <v>77</v>
      </c>
      <c r="E19" s="20" t="s">
        <v>78</v>
      </c>
      <c r="F19" s="20">
        <v>20.0</v>
      </c>
      <c r="G19" s="20">
        <v>21.0</v>
      </c>
      <c r="H19" s="12"/>
      <c r="I19" s="12"/>
    </row>
    <row r="20" ht="21.75" customHeight="1">
      <c r="A20" s="16">
        <v>14.0</v>
      </c>
      <c r="B20" s="20" t="s">
        <v>43</v>
      </c>
      <c r="C20" s="20" t="s">
        <v>81</v>
      </c>
      <c r="D20" s="20" t="s">
        <v>77</v>
      </c>
      <c r="E20" s="20" t="s">
        <v>82</v>
      </c>
      <c r="F20" s="20">
        <v>20.0</v>
      </c>
      <c r="G20" s="20">
        <v>21.0</v>
      </c>
      <c r="H20" s="12"/>
      <c r="I20" s="12"/>
    </row>
    <row r="21" ht="21.75" customHeight="1">
      <c r="A21" s="16">
        <v>15.0</v>
      </c>
      <c r="B21" s="20" t="s">
        <v>43</v>
      </c>
      <c r="C21" s="20" t="s">
        <v>83</v>
      </c>
      <c r="D21" s="20" t="s">
        <v>77</v>
      </c>
      <c r="E21" s="20" t="s">
        <v>82</v>
      </c>
      <c r="F21" s="20">
        <v>20.0</v>
      </c>
      <c r="G21" s="20">
        <v>21.0</v>
      </c>
      <c r="H21" s="12"/>
      <c r="I21" s="12"/>
    </row>
    <row r="22" ht="21.75" customHeight="1">
      <c r="A22" s="16">
        <v>16.0</v>
      </c>
      <c r="B22" s="20" t="s">
        <v>43</v>
      </c>
      <c r="C22" s="20" t="s">
        <v>84</v>
      </c>
      <c r="D22" s="20" t="s">
        <v>77</v>
      </c>
      <c r="E22" s="20" t="s">
        <v>85</v>
      </c>
      <c r="F22" s="20">
        <v>6.0</v>
      </c>
      <c r="G22" s="20">
        <v>4.0</v>
      </c>
      <c r="H22" s="12"/>
      <c r="I22" s="12"/>
    </row>
    <row r="23" ht="21.75" customHeight="1">
      <c r="A23" s="16">
        <v>17.0</v>
      </c>
      <c r="B23" s="20" t="s">
        <v>43</v>
      </c>
      <c r="C23" s="20" t="s">
        <v>86</v>
      </c>
      <c r="D23" s="20" t="s">
        <v>77</v>
      </c>
      <c r="E23" s="20" t="s">
        <v>87</v>
      </c>
      <c r="F23" s="20">
        <v>4.0</v>
      </c>
      <c r="G23" s="20">
        <v>10.0</v>
      </c>
      <c r="H23" s="12"/>
      <c r="I23" s="12"/>
    </row>
    <row r="24" ht="21.75" customHeight="1">
      <c r="A24" s="16">
        <v>18.0</v>
      </c>
      <c r="B24" s="20" t="s">
        <v>43</v>
      </c>
      <c r="C24" s="20" t="s">
        <v>88</v>
      </c>
      <c r="D24" s="20" t="s">
        <v>77</v>
      </c>
      <c r="E24" s="20" t="s">
        <v>85</v>
      </c>
      <c r="F24" s="20">
        <v>6.0</v>
      </c>
      <c r="G24" s="20">
        <v>10.0</v>
      </c>
      <c r="H24" s="12"/>
      <c r="I24" s="12"/>
    </row>
    <row r="25" ht="21.75" customHeight="1">
      <c r="A25" s="16">
        <v>19.0</v>
      </c>
      <c r="B25" s="20" t="s">
        <v>43</v>
      </c>
      <c r="C25" s="20" t="s">
        <v>89</v>
      </c>
      <c r="D25" s="20" t="s">
        <v>77</v>
      </c>
      <c r="E25" s="20" t="s">
        <v>82</v>
      </c>
      <c r="F25" s="20">
        <v>20.0</v>
      </c>
      <c r="G25" s="20">
        <v>21.0</v>
      </c>
      <c r="H25" s="12"/>
      <c r="I25" s="12"/>
    </row>
    <row r="26" ht="21.75" customHeight="1">
      <c r="A26" s="16">
        <v>20.0</v>
      </c>
      <c r="B26" s="20" t="s">
        <v>45</v>
      </c>
      <c r="C26" s="20" t="s">
        <v>90</v>
      </c>
      <c r="D26" s="20" t="s">
        <v>91</v>
      </c>
      <c r="E26" s="20" t="s">
        <v>92</v>
      </c>
      <c r="F26" s="20">
        <v>22.0</v>
      </c>
      <c r="G26" s="20">
        <v>21.0</v>
      </c>
      <c r="H26" s="12"/>
      <c r="I26" s="12"/>
    </row>
    <row r="27" ht="21.75" customHeight="1">
      <c r="A27" s="16">
        <v>21.0</v>
      </c>
      <c r="B27" s="20" t="s">
        <v>45</v>
      </c>
      <c r="C27" s="20" t="s">
        <v>93</v>
      </c>
      <c r="D27" s="20" t="s">
        <v>91</v>
      </c>
      <c r="E27" s="20" t="s">
        <v>92</v>
      </c>
      <c r="F27" s="20">
        <v>22.0</v>
      </c>
      <c r="G27" s="20">
        <v>21.0</v>
      </c>
      <c r="H27" s="12"/>
      <c r="I27" s="12"/>
    </row>
    <row r="28" ht="21.75" customHeight="1">
      <c r="A28" s="16">
        <v>22.0</v>
      </c>
      <c r="B28" s="20" t="s">
        <v>45</v>
      </c>
      <c r="C28" s="20" t="s">
        <v>94</v>
      </c>
      <c r="D28" s="20" t="s">
        <v>91</v>
      </c>
      <c r="E28" s="20" t="s">
        <v>92</v>
      </c>
      <c r="F28" s="20">
        <v>22.0</v>
      </c>
      <c r="G28" s="20">
        <v>21.0</v>
      </c>
      <c r="H28" s="12"/>
      <c r="I28" s="12"/>
    </row>
    <row r="29" ht="21.75" customHeight="1">
      <c r="A29" s="16">
        <v>23.0</v>
      </c>
      <c r="B29" s="20" t="s">
        <v>45</v>
      </c>
      <c r="C29" s="20" t="s">
        <v>95</v>
      </c>
      <c r="D29" s="20" t="s">
        <v>91</v>
      </c>
      <c r="E29" s="20" t="s">
        <v>92</v>
      </c>
      <c r="F29" s="20">
        <v>22.0</v>
      </c>
      <c r="G29" s="20">
        <v>21.0</v>
      </c>
      <c r="H29" s="12"/>
      <c r="I29" s="12"/>
    </row>
    <row r="30" ht="21.75" customHeight="1">
      <c r="A30" s="16">
        <v>24.0</v>
      </c>
      <c r="B30" s="20" t="s">
        <v>45</v>
      </c>
      <c r="C30" s="20" t="s">
        <v>96</v>
      </c>
      <c r="D30" s="20" t="s">
        <v>91</v>
      </c>
      <c r="E30" s="20" t="s">
        <v>97</v>
      </c>
      <c r="F30" s="20">
        <v>50.0</v>
      </c>
      <c r="G30" s="20">
        <v>21.0</v>
      </c>
      <c r="H30" s="12"/>
      <c r="I30" s="12"/>
    </row>
    <row r="31" ht="21.75" customHeight="1">
      <c r="A31" s="16">
        <v>25.0</v>
      </c>
      <c r="B31" s="20"/>
      <c r="C31" s="20"/>
      <c r="D31" s="12"/>
      <c r="E31" s="12"/>
      <c r="F31" s="20"/>
      <c r="G31" s="20"/>
      <c r="H31" s="12"/>
      <c r="I31" s="12"/>
    </row>
    <row r="32" ht="21.75" customHeight="1">
      <c r="A32" s="16">
        <v>26.0</v>
      </c>
      <c r="B32" s="20"/>
      <c r="C32" s="12"/>
      <c r="D32" s="12"/>
      <c r="E32" s="12"/>
      <c r="F32" s="12"/>
      <c r="G32" s="12"/>
      <c r="H32" s="12"/>
      <c r="I32" s="12"/>
    </row>
    <row r="33" ht="21.75" customHeight="1">
      <c r="A33" s="16">
        <v>27.0</v>
      </c>
      <c r="B33" s="20"/>
      <c r="C33" s="12"/>
      <c r="D33" s="12"/>
      <c r="E33" s="12"/>
      <c r="F33" s="12"/>
      <c r="G33" s="12"/>
      <c r="H33" s="12"/>
      <c r="I33" s="12"/>
    </row>
    <row r="34" ht="21.75" customHeight="1">
      <c r="A34" s="16">
        <v>28.0</v>
      </c>
      <c r="B34" s="12"/>
      <c r="C34" s="12"/>
      <c r="D34" s="12"/>
      <c r="E34" s="12"/>
      <c r="F34" s="12"/>
      <c r="G34" s="12"/>
      <c r="H34" s="12"/>
      <c r="I34" s="12"/>
    </row>
    <row r="35" ht="21.75" customHeight="1">
      <c r="A35" s="16">
        <v>29.0</v>
      </c>
      <c r="B35" s="12"/>
      <c r="C35" s="12"/>
      <c r="D35" s="12"/>
      <c r="E35" s="12"/>
      <c r="F35" s="12"/>
      <c r="G35" s="12"/>
      <c r="H35" s="12"/>
      <c r="I35" s="12"/>
    </row>
    <row r="36" ht="21.75" customHeight="1">
      <c r="A36" s="16">
        <v>30.0</v>
      </c>
      <c r="B36" s="12"/>
      <c r="C36" s="12"/>
      <c r="D36" s="12"/>
      <c r="E36" s="12"/>
      <c r="F36" s="12"/>
      <c r="G36" s="12"/>
      <c r="H36" s="12"/>
      <c r="I36" s="12"/>
    </row>
    <row r="37" ht="21.75" customHeight="1">
      <c r="A37" s="16">
        <v>31.0</v>
      </c>
      <c r="B37" s="12"/>
      <c r="C37" s="12"/>
      <c r="D37" s="12"/>
      <c r="E37" s="12"/>
      <c r="F37" s="12"/>
      <c r="G37" s="12"/>
      <c r="H37" s="12"/>
      <c r="I37" s="12"/>
    </row>
    <row r="38" ht="21.75" customHeight="1">
      <c r="A38" s="16">
        <v>32.0</v>
      </c>
      <c r="B38" s="12"/>
      <c r="C38" s="12"/>
      <c r="D38" s="12"/>
      <c r="E38" s="12"/>
      <c r="F38" s="12"/>
      <c r="G38" s="12"/>
      <c r="H38" s="12"/>
      <c r="I38" s="12"/>
    </row>
    <row r="39" ht="21.75" customHeight="1">
      <c r="A39" s="16">
        <v>33.0</v>
      </c>
      <c r="B39" s="12"/>
      <c r="C39" s="12"/>
      <c r="D39" s="12"/>
      <c r="E39" s="12"/>
      <c r="F39" s="12"/>
      <c r="G39" s="12"/>
      <c r="H39" s="12"/>
      <c r="I39" s="12"/>
    </row>
    <row r="40" ht="21.75" customHeight="1">
      <c r="A40" s="16">
        <v>34.0</v>
      </c>
      <c r="B40" s="12"/>
      <c r="C40" s="12"/>
      <c r="D40" s="12"/>
      <c r="E40" s="12"/>
      <c r="F40" s="12"/>
      <c r="G40" s="12"/>
      <c r="H40" s="12"/>
      <c r="I40" s="12"/>
    </row>
    <row r="41" ht="21.75" customHeight="1">
      <c r="A41" s="16">
        <v>35.0</v>
      </c>
      <c r="B41" s="12"/>
      <c r="C41" s="12"/>
      <c r="D41" s="12"/>
      <c r="E41" s="12"/>
      <c r="F41" s="12"/>
      <c r="G41" s="12"/>
      <c r="H41" s="12"/>
      <c r="I41" s="12"/>
    </row>
    <row r="42" ht="21.75" customHeight="1">
      <c r="A42" s="16">
        <v>36.0</v>
      </c>
      <c r="B42" s="12"/>
      <c r="C42" s="12"/>
      <c r="D42" s="12"/>
      <c r="E42" s="12"/>
      <c r="F42" s="12"/>
      <c r="G42" s="12"/>
      <c r="H42" s="12"/>
      <c r="I42" s="12"/>
    </row>
    <row r="43" ht="21.75" customHeight="1">
      <c r="A43" s="16">
        <v>37.0</v>
      </c>
      <c r="B43" s="12"/>
      <c r="C43" s="12"/>
      <c r="D43" s="12"/>
      <c r="E43" s="12"/>
      <c r="F43" s="12"/>
      <c r="G43" s="12"/>
      <c r="H43" s="12"/>
      <c r="I43" s="12"/>
    </row>
    <row r="44" ht="21.75" customHeight="1">
      <c r="A44" s="16">
        <v>38.0</v>
      </c>
      <c r="B44" s="12"/>
      <c r="C44" s="12"/>
      <c r="D44" s="12"/>
      <c r="E44" s="12"/>
      <c r="F44" s="12"/>
      <c r="G44" s="12"/>
      <c r="H44" s="12"/>
      <c r="I44" s="12"/>
    </row>
    <row r="45" ht="21.75" customHeight="1">
      <c r="A45" s="16">
        <v>39.0</v>
      </c>
      <c r="B45" s="12"/>
      <c r="C45" s="12"/>
      <c r="D45" s="12"/>
      <c r="E45" s="12"/>
      <c r="F45" s="12"/>
      <c r="G45" s="12"/>
      <c r="H45" s="12"/>
      <c r="I45" s="12"/>
    </row>
    <row r="46" ht="21.75" customHeight="1">
      <c r="A46" s="16">
        <v>40.0</v>
      </c>
      <c r="B46" s="12"/>
      <c r="C46" s="12"/>
      <c r="D46" s="12"/>
      <c r="E46" s="12"/>
      <c r="F46" s="12"/>
      <c r="G46" s="12"/>
      <c r="H46" s="12"/>
      <c r="I46" s="12"/>
    </row>
    <row r="47" ht="21.75" customHeight="1">
      <c r="A47" s="16">
        <v>41.0</v>
      </c>
      <c r="B47" s="12"/>
      <c r="C47" s="12"/>
      <c r="D47" s="12"/>
      <c r="E47" s="12"/>
      <c r="F47" s="12"/>
      <c r="G47" s="12"/>
      <c r="H47" s="12"/>
      <c r="I47" s="12"/>
    </row>
    <row r="48" ht="21.75" customHeight="1">
      <c r="A48" s="16">
        <v>42.0</v>
      </c>
      <c r="B48" s="12"/>
      <c r="C48" s="12"/>
      <c r="D48" s="12"/>
      <c r="E48" s="12"/>
      <c r="F48" s="12"/>
      <c r="G48" s="12"/>
      <c r="H48" s="12"/>
      <c r="I48" s="12"/>
    </row>
    <row r="49" ht="21.75" customHeight="1">
      <c r="A49" s="16">
        <v>43.0</v>
      </c>
      <c r="B49" s="12"/>
      <c r="C49" s="12"/>
      <c r="D49" s="12"/>
      <c r="E49" s="12"/>
      <c r="F49" s="12"/>
      <c r="G49" s="12"/>
      <c r="H49" s="12"/>
      <c r="I49" s="12"/>
    </row>
    <row r="50" ht="21.75" customHeight="1">
      <c r="A50" s="16">
        <v>44.0</v>
      </c>
      <c r="B50" s="12"/>
      <c r="C50" s="12"/>
      <c r="D50" s="12"/>
      <c r="E50" s="12"/>
      <c r="F50" s="12"/>
      <c r="G50" s="12"/>
      <c r="H50" s="12"/>
      <c r="I50" s="12"/>
    </row>
    <row r="51" ht="21.75" customHeight="1">
      <c r="A51" s="16">
        <v>45.0</v>
      </c>
      <c r="B51" s="12"/>
      <c r="C51" s="12"/>
      <c r="D51" s="12"/>
      <c r="E51" s="12"/>
      <c r="F51" s="12"/>
      <c r="G51" s="12"/>
      <c r="H51" s="12"/>
      <c r="I51" s="12"/>
    </row>
    <row r="52" ht="21.75" customHeight="1">
      <c r="A52" s="16">
        <v>46.0</v>
      </c>
      <c r="B52" s="12"/>
      <c r="C52" s="12"/>
      <c r="D52" s="12"/>
      <c r="E52" s="12"/>
      <c r="F52" s="12"/>
      <c r="G52" s="12"/>
      <c r="H52" s="12"/>
      <c r="I52" s="12"/>
    </row>
    <row r="53" ht="21.75" customHeight="1">
      <c r="A53" s="16">
        <v>47.0</v>
      </c>
      <c r="B53" s="12"/>
      <c r="C53" s="12"/>
      <c r="D53" s="12"/>
      <c r="E53" s="12"/>
      <c r="F53" s="12"/>
      <c r="G53" s="12"/>
      <c r="H53" s="12"/>
      <c r="I53" s="12"/>
    </row>
    <row r="54" ht="21.75" customHeight="1">
      <c r="A54" s="16">
        <v>48.0</v>
      </c>
      <c r="B54" s="12"/>
      <c r="C54" s="12"/>
      <c r="D54" s="12"/>
      <c r="E54" s="12"/>
      <c r="F54" s="12"/>
      <c r="G54" s="12"/>
      <c r="H54" s="12"/>
      <c r="I54" s="12"/>
    </row>
    <row r="55" ht="21.75" customHeight="1">
      <c r="A55" s="16">
        <v>49.0</v>
      </c>
      <c r="B55" s="12"/>
      <c r="C55" s="12"/>
      <c r="D55" s="12"/>
      <c r="E55" s="12"/>
      <c r="F55" s="12"/>
      <c r="G55" s="12"/>
      <c r="H55" s="12"/>
      <c r="I55" s="12"/>
    </row>
    <row r="56" ht="21.75" customHeight="1">
      <c r="A56" s="16">
        <v>50.0</v>
      </c>
      <c r="B56" s="12"/>
      <c r="C56" s="12"/>
      <c r="D56" s="12"/>
      <c r="E56" s="12"/>
      <c r="F56" s="12"/>
      <c r="G56" s="12"/>
      <c r="H56" s="12"/>
      <c r="I56" s="12"/>
    </row>
    <row r="57" ht="21.75" customHeight="1">
      <c r="A57" s="16">
        <v>51.0</v>
      </c>
      <c r="B57" s="12"/>
      <c r="C57" s="12"/>
      <c r="D57" s="12"/>
      <c r="E57" s="12"/>
      <c r="F57" s="12"/>
      <c r="G57" s="12"/>
      <c r="H57" s="12"/>
      <c r="I57" s="12"/>
    </row>
    <row r="58" ht="21.75" customHeight="1">
      <c r="A58" s="16">
        <v>52.0</v>
      </c>
      <c r="B58" s="12"/>
      <c r="C58" s="12"/>
      <c r="D58" s="12"/>
      <c r="E58" s="12"/>
      <c r="F58" s="12"/>
      <c r="G58" s="12"/>
      <c r="H58" s="12"/>
      <c r="I58" s="12"/>
    </row>
    <row r="59" ht="21.75" customHeight="1">
      <c r="A59" s="16">
        <v>53.0</v>
      </c>
      <c r="B59" s="12"/>
      <c r="C59" s="12"/>
      <c r="D59" s="12"/>
      <c r="E59" s="12"/>
      <c r="F59" s="12"/>
      <c r="G59" s="12"/>
      <c r="H59" s="12"/>
      <c r="I59" s="12"/>
    </row>
    <row r="60" ht="21.75" customHeight="1">
      <c r="A60" s="16">
        <v>54.0</v>
      </c>
      <c r="B60" s="12"/>
      <c r="C60" s="12"/>
      <c r="D60" s="12"/>
      <c r="E60" s="12"/>
      <c r="F60" s="12"/>
      <c r="G60" s="12"/>
      <c r="H60" s="12"/>
      <c r="I60" s="12"/>
    </row>
    <row r="61" ht="21.75" customHeight="1">
      <c r="A61" s="16">
        <v>55.0</v>
      </c>
      <c r="B61" s="12"/>
      <c r="C61" s="12"/>
      <c r="D61" s="12"/>
      <c r="E61" s="12"/>
      <c r="F61" s="12"/>
      <c r="G61" s="12"/>
      <c r="H61" s="12"/>
      <c r="I61" s="12"/>
    </row>
    <row r="62" ht="21.75" customHeight="1">
      <c r="A62" s="16">
        <v>56.0</v>
      </c>
      <c r="B62" s="12"/>
      <c r="C62" s="12"/>
      <c r="D62" s="12"/>
      <c r="E62" s="12"/>
      <c r="F62" s="12"/>
      <c r="G62" s="12"/>
      <c r="H62" s="12"/>
      <c r="I62" s="12"/>
    </row>
    <row r="63" ht="21.75" customHeight="1">
      <c r="A63" s="16">
        <v>57.0</v>
      </c>
      <c r="B63" s="12"/>
      <c r="C63" s="12"/>
      <c r="D63" s="12"/>
      <c r="E63" s="12"/>
      <c r="F63" s="12"/>
      <c r="G63" s="12"/>
      <c r="H63" s="12"/>
      <c r="I63" s="12"/>
    </row>
    <row r="64" ht="21.75" customHeight="1">
      <c r="A64" s="16">
        <v>58.0</v>
      </c>
      <c r="B64" s="12"/>
      <c r="C64" s="12"/>
      <c r="D64" s="12"/>
      <c r="E64" s="12"/>
      <c r="F64" s="12"/>
      <c r="G64" s="12"/>
      <c r="H64" s="12"/>
      <c r="I64" s="12"/>
    </row>
    <row r="65" ht="21.75" customHeight="1">
      <c r="A65" s="16">
        <v>59.0</v>
      </c>
      <c r="B65" s="12"/>
      <c r="C65" s="12"/>
      <c r="D65" s="12"/>
      <c r="E65" s="12"/>
      <c r="F65" s="12"/>
      <c r="G65" s="12"/>
      <c r="H65" s="12"/>
      <c r="I65" s="12"/>
    </row>
    <row r="66" ht="21.75" customHeight="1">
      <c r="A66" s="16">
        <v>60.0</v>
      </c>
      <c r="B66" s="12"/>
      <c r="C66" s="12"/>
      <c r="D66" s="12"/>
      <c r="E66" s="12"/>
      <c r="F66" s="12"/>
      <c r="G66" s="12"/>
      <c r="H66" s="12"/>
      <c r="I66" s="12"/>
    </row>
    <row r="67" ht="21.75" customHeight="1">
      <c r="A67" s="16">
        <v>61.0</v>
      </c>
      <c r="B67" s="12"/>
      <c r="C67" s="12"/>
      <c r="D67" s="12"/>
      <c r="E67" s="12"/>
      <c r="F67" s="12"/>
      <c r="G67" s="12"/>
      <c r="H67" s="12"/>
      <c r="I67" s="12"/>
    </row>
    <row r="68" ht="21.75" customHeight="1">
      <c r="A68" s="16">
        <v>62.0</v>
      </c>
      <c r="B68" s="12"/>
      <c r="C68" s="12"/>
      <c r="D68" s="12"/>
      <c r="E68" s="12"/>
      <c r="F68" s="12"/>
      <c r="G68" s="12"/>
      <c r="H68" s="12"/>
      <c r="I68" s="12"/>
    </row>
    <row r="69" ht="21.75" customHeight="1">
      <c r="A69" s="16">
        <v>63.0</v>
      </c>
      <c r="B69" s="12"/>
      <c r="C69" s="12"/>
      <c r="D69" s="12"/>
      <c r="E69" s="12"/>
      <c r="F69" s="12"/>
      <c r="G69" s="12"/>
      <c r="H69" s="12"/>
      <c r="I69" s="12"/>
    </row>
    <row r="70" ht="21.75" customHeight="1">
      <c r="A70" s="16">
        <v>64.0</v>
      </c>
      <c r="B70" s="12"/>
      <c r="C70" s="12"/>
      <c r="D70" s="12"/>
      <c r="E70" s="12"/>
      <c r="F70" s="12"/>
      <c r="G70" s="12"/>
      <c r="H70" s="12"/>
      <c r="I70" s="12"/>
    </row>
    <row r="71" ht="21.75" customHeight="1">
      <c r="A71" s="16">
        <v>65.0</v>
      </c>
      <c r="B71" s="12"/>
      <c r="C71" s="12"/>
      <c r="D71" s="12"/>
      <c r="E71" s="12"/>
      <c r="F71" s="12"/>
      <c r="G71" s="12"/>
      <c r="H71" s="12"/>
      <c r="I71" s="12"/>
    </row>
    <row r="72" ht="21.75" customHeight="1">
      <c r="A72" s="16">
        <v>66.0</v>
      </c>
      <c r="B72" s="12"/>
      <c r="C72" s="12"/>
      <c r="D72" s="12"/>
      <c r="E72" s="12"/>
      <c r="F72" s="12"/>
      <c r="G72" s="12"/>
      <c r="H72" s="12"/>
      <c r="I72" s="12"/>
    </row>
    <row r="73" ht="21.75" customHeight="1">
      <c r="A73" s="16">
        <v>67.0</v>
      </c>
      <c r="B73" s="12"/>
      <c r="C73" s="12"/>
      <c r="D73" s="12"/>
      <c r="E73" s="12"/>
      <c r="F73" s="12"/>
      <c r="G73" s="12"/>
      <c r="H73" s="12"/>
      <c r="I73" s="12"/>
    </row>
    <row r="74" ht="21.75" customHeight="1">
      <c r="A74" s="16">
        <v>68.0</v>
      </c>
      <c r="B74" s="12"/>
      <c r="C74" s="12"/>
      <c r="D74" s="12"/>
      <c r="E74" s="12"/>
      <c r="F74" s="12"/>
      <c r="G74" s="12"/>
      <c r="H74" s="12"/>
      <c r="I74" s="12"/>
    </row>
    <row r="75" ht="21.75" customHeight="1">
      <c r="A75" s="16">
        <v>69.0</v>
      </c>
      <c r="B75" s="12"/>
      <c r="C75" s="12"/>
      <c r="D75" s="12"/>
      <c r="E75" s="12"/>
      <c r="F75" s="12"/>
      <c r="G75" s="12"/>
      <c r="H75" s="12"/>
      <c r="I75" s="12"/>
    </row>
    <row r="76" ht="21.75" customHeight="1">
      <c r="A76" s="16">
        <v>70.0</v>
      </c>
      <c r="B76" s="12"/>
      <c r="C76" s="12"/>
      <c r="D76" s="12"/>
      <c r="E76" s="12"/>
      <c r="F76" s="12"/>
      <c r="G76" s="12"/>
      <c r="H76" s="12"/>
      <c r="I76" s="12"/>
    </row>
    <row r="77" ht="21.75" customHeight="1">
      <c r="A77" s="16">
        <v>71.0</v>
      </c>
      <c r="B77" s="12"/>
      <c r="C77" s="12"/>
      <c r="D77" s="12"/>
      <c r="E77" s="12"/>
      <c r="F77" s="12"/>
      <c r="G77" s="12"/>
      <c r="H77" s="12"/>
      <c r="I77" s="12"/>
    </row>
    <row r="78" ht="21.75" customHeight="1">
      <c r="A78" s="16">
        <v>72.0</v>
      </c>
      <c r="B78" s="12"/>
      <c r="C78" s="12"/>
      <c r="D78" s="12"/>
      <c r="E78" s="12"/>
      <c r="F78" s="12"/>
      <c r="G78" s="12"/>
      <c r="H78" s="12"/>
      <c r="I78" s="12"/>
    </row>
    <row r="79" ht="21.75" customHeight="1">
      <c r="A79" s="16">
        <v>73.0</v>
      </c>
      <c r="B79" s="12"/>
      <c r="C79" s="12"/>
      <c r="D79" s="12"/>
      <c r="E79" s="12"/>
      <c r="F79" s="12"/>
      <c r="G79" s="12"/>
      <c r="H79" s="12"/>
      <c r="I79" s="12"/>
    </row>
    <row r="80" ht="21.75" customHeight="1">
      <c r="A80" s="16">
        <v>74.0</v>
      </c>
      <c r="B80" s="12"/>
      <c r="C80" s="12"/>
      <c r="D80" s="12"/>
      <c r="E80" s="12"/>
      <c r="F80" s="12"/>
      <c r="G80" s="12"/>
      <c r="H80" s="12"/>
      <c r="I80" s="12"/>
    </row>
    <row r="81" ht="21.75" customHeight="1">
      <c r="A81" s="16">
        <v>75.0</v>
      </c>
      <c r="B81" s="12"/>
      <c r="C81" s="12"/>
      <c r="D81" s="12"/>
      <c r="E81" s="12"/>
      <c r="F81" s="12"/>
      <c r="G81" s="12"/>
      <c r="H81" s="12"/>
      <c r="I81" s="12"/>
    </row>
    <row r="82" ht="21.75" customHeight="1">
      <c r="A82" s="16">
        <v>76.0</v>
      </c>
      <c r="B82" s="12"/>
      <c r="C82" s="12"/>
      <c r="D82" s="12"/>
      <c r="E82" s="12"/>
      <c r="F82" s="12"/>
      <c r="G82" s="12"/>
      <c r="H82" s="12"/>
      <c r="I82" s="12"/>
    </row>
    <row r="83" ht="21.75" customHeight="1">
      <c r="A83" s="16">
        <v>77.0</v>
      </c>
      <c r="B83" s="12"/>
      <c r="C83" s="12"/>
      <c r="D83" s="12"/>
      <c r="E83" s="12"/>
      <c r="F83" s="12"/>
      <c r="G83" s="12"/>
      <c r="H83" s="12"/>
      <c r="I83" s="12"/>
    </row>
    <row r="84" ht="21.75" customHeight="1">
      <c r="A84" s="16">
        <v>78.0</v>
      </c>
      <c r="B84" s="12"/>
      <c r="C84" s="12"/>
      <c r="D84" s="12"/>
      <c r="E84" s="12"/>
      <c r="F84" s="12"/>
      <c r="G84" s="12"/>
      <c r="H84" s="12"/>
      <c r="I84" s="12"/>
    </row>
    <row r="85" ht="21.75" customHeight="1">
      <c r="A85" s="16">
        <v>79.0</v>
      </c>
      <c r="B85" s="12"/>
      <c r="C85" s="12"/>
      <c r="D85" s="12"/>
      <c r="E85" s="12"/>
      <c r="F85" s="12"/>
      <c r="G85" s="12"/>
      <c r="H85" s="12"/>
      <c r="I85" s="12"/>
    </row>
    <row r="86" ht="21.75" customHeight="1">
      <c r="A86" s="16">
        <v>80.0</v>
      </c>
      <c r="B86" s="12"/>
      <c r="C86" s="12"/>
      <c r="D86" s="12"/>
      <c r="E86" s="12"/>
      <c r="F86" s="12"/>
      <c r="G86" s="12"/>
      <c r="H86" s="12"/>
      <c r="I86" s="12"/>
    </row>
    <row r="87" ht="21.75" customHeight="1">
      <c r="A87" s="16">
        <v>81.0</v>
      </c>
      <c r="B87" s="12"/>
      <c r="C87" s="12"/>
      <c r="D87" s="12"/>
      <c r="E87" s="12"/>
      <c r="F87" s="12"/>
      <c r="G87" s="12"/>
      <c r="H87" s="12"/>
      <c r="I87" s="12"/>
    </row>
    <row r="88" ht="21.75" customHeight="1">
      <c r="A88" s="16">
        <v>82.0</v>
      </c>
      <c r="B88" s="12"/>
      <c r="C88" s="12"/>
      <c r="D88" s="12"/>
      <c r="E88" s="12"/>
      <c r="F88" s="12"/>
      <c r="G88" s="12"/>
      <c r="H88" s="12"/>
      <c r="I88" s="12"/>
    </row>
    <row r="89" ht="21.75" customHeight="1">
      <c r="A89" s="16">
        <v>83.0</v>
      </c>
      <c r="B89" s="12"/>
      <c r="C89" s="12"/>
      <c r="D89" s="12"/>
      <c r="E89" s="12"/>
      <c r="F89" s="12"/>
      <c r="G89" s="12"/>
      <c r="H89" s="12"/>
      <c r="I89" s="12"/>
    </row>
    <row r="90" ht="21.75" customHeight="1">
      <c r="A90" s="16">
        <v>84.0</v>
      </c>
      <c r="B90" s="12"/>
      <c r="C90" s="12"/>
      <c r="D90" s="12"/>
      <c r="E90" s="12"/>
      <c r="F90" s="12"/>
      <c r="G90" s="12"/>
      <c r="H90" s="12"/>
      <c r="I90" s="12"/>
    </row>
    <row r="91" ht="21.75" customHeight="1">
      <c r="A91" s="16">
        <v>85.0</v>
      </c>
      <c r="B91" s="12"/>
      <c r="C91" s="12"/>
      <c r="D91" s="12"/>
      <c r="E91" s="12"/>
      <c r="F91" s="12"/>
      <c r="G91" s="12"/>
      <c r="H91" s="12"/>
      <c r="I91" s="12"/>
    </row>
    <row r="92" ht="21.75" customHeight="1">
      <c r="A92" s="16">
        <v>86.0</v>
      </c>
      <c r="B92" s="12"/>
      <c r="C92" s="12"/>
      <c r="D92" s="12"/>
      <c r="E92" s="12"/>
      <c r="F92" s="12"/>
      <c r="G92" s="12"/>
      <c r="H92" s="12"/>
      <c r="I92" s="12"/>
    </row>
    <row r="93" ht="21.75" customHeight="1">
      <c r="A93" s="16">
        <v>87.0</v>
      </c>
      <c r="B93" s="12"/>
      <c r="C93" s="12"/>
      <c r="D93" s="12"/>
      <c r="E93" s="12"/>
      <c r="F93" s="12"/>
      <c r="G93" s="12"/>
      <c r="H93" s="12"/>
      <c r="I93" s="12"/>
    </row>
    <row r="94" ht="21.75" customHeight="1">
      <c r="A94" s="16">
        <v>88.0</v>
      </c>
      <c r="B94" s="12"/>
      <c r="C94" s="12"/>
      <c r="D94" s="12"/>
      <c r="E94" s="12"/>
      <c r="F94" s="12"/>
      <c r="G94" s="12"/>
      <c r="H94" s="12"/>
      <c r="I94" s="12"/>
    </row>
    <row r="95" ht="21.75" customHeight="1">
      <c r="A95" s="16">
        <v>89.0</v>
      </c>
      <c r="B95" s="12"/>
      <c r="C95" s="12"/>
      <c r="D95" s="12"/>
      <c r="E95" s="12"/>
      <c r="F95" s="12"/>
      <c r="G95" s="12"/>
      <c r="H95" s="12"/>
      <c r="I95" s="12"/>
    </row>
    <row r="96" ht="21.75" customHeight="1">
      <c r="A96" s="16">
        <v>90.0</v>
      </c>
      <c r="B96" s="12"/>
      <c r="C96" s="12"/>
      <c r="D96" s="12"/>
      <c r="E96" s="12"/>
      <c r="F96" s="12"/>
      <c r="G96" s="12"/>
      <c r="H96" s="12"/>
      <c r="I96" s="12"/>
    </row>
    <row r="97" ht="21.75" customHeight="1">
      <c r="A97" s="16">
        <v>91.0</v>
      </c>
      <c r="B97" s="12"/>
      <c r="C97" s="12"/>
      <c r="D97" s="12"/>
      <c r="E97" s="12"/>
      <c r="F97" s="12"/>
      <c r="G97" s="12"/>
      <c r="H97" s="12"/>
      <c r="I97" s="12"/>
    </row>
    <row r="98" ht="21.75" customHeight="1">
      <c r="A98" s="16">
        <v>92.0</v>
      </c>
      <c r="B98" s="12"/>
      <c r="C98" s="12"/>
      <c r="D98" s="12"/>
      <c r="E98" s="12"/>
      <c r="F98" s="12"/>
      <c r="G98" s="12"/>
      <c r="H98" s="12"/>
      <c r="I98" s="12"/>
    </row>
    <row r="99" ht="21.75" customHeight="1">
      <c r="A99" s="16">
        <v>93.0</v>
      </c>
      <c r="B99" s="12"/>
      <c r="C99" s="12"/>
      <c r="D99" s="12"/>
      <c r="E99" s="12"/>
      <c r="F99" s="12"/>
      <c r="G99" s="12"/>
      <c r="H99" s="12"/>
      <c r="I99" s="12"/>
    </row>
    <row r="100" ht="21.75" customHeight="1">
      <c r="A100" s="16">
        <v>94.0</v>
      </c>
      <c r="B100" s="12"/>
      <c r="C100" s="12"/>
      <c r="D100" s="12"/>
      <c r="E100" s="12"/>
      <c r="F100" s="12"/>
      <c r="G100" s="12"/>
      <c r="H100" s="12"/>
      <c r="I100" s="12"/>
    </row>
    <row r="101" ht="21.75" customHeight="1">
      <c r="A101" s="16">
        <v>95.0</v>
      </c>
      <c r="B101" s="12"/>
      <c r="C101" s="12"/>
      <c r="D101" s="12"/>
      <c r="E101" s="12"/>
      <c r="F101" s="12"/>
      <c r="G101" s="12"/>
      <c r="H101" s="12"/>
      <c r="I101" s="12"/>
    </row>
    <row r="102" ht="21.75" customHeight="1">
      <c r="A102" s="16">
        <v>96.0</v>
      </c>
      <c r="B102" s="12"/>
      <c r="C102" s="12"/>
      <c r="D102" s="12"/>
      <c r="E102" s="12"/>
      <c r="F102" s="12"/>
      <c r="G102" s="12"/>
      <c r="H102" s="12"/>
      <c r="I102" s="12"/>
    </row>
    <row r="103" ht="21.75" customHeight="1">
      <c r="A103" s="16">
        <v>97.0</v>
      </c>
      <c r="B103" s="12"/>
      <c r="C103" s="12"/>
      <c r="D103" s="12"/>
      <c r="E103" s="12"/>
      <c r="F103" s="12"/>
      <c r="G103" s="12"/>
      <c r="H103" s="12"/>
      <c r="I103" s="12"/>
    </row>
    <row r="104" ht="21.75" customHeight="1">
      <c r="A104" s="16">
        <v>98.0</v>
      </c>
      <c r="B104" s="12"/>
      <c r="C104" s="12"/>
      <c r="D104" s="12"/>
      <c r="E104" s="12"/>
      <c r="F104" s="12"/>
      <c r="G104" s="12"/>
      <c r="H104" s="12"/>
      <c r="I104" s="12"/>
    </row>
    <row r="105" ht="21.75" customHeight="1">
      <c r="A105" s="16">
        <v>99.0</v>
      </c>
      <c r="B105" s="12"/>
      <c r="C105" s="12"/>
      <c r="D105" s="12"/>
      <c r="E105" s="12"/>
      <c r="F105" s="12"/>
      <c r="G105" s="12"/>
      <c r="H105" s="12"/>
      <c r="I105" s="12"/>
    </row>
    <row r="106" ht="21.75" customHeight="1">
      <c r="A106" s="16">
        <f t="shared" ref="A106:A500" si="1">A105+1</f>
        <v>100</v>
      </c>
      <c r="B106" s="12"/>
      <c r="C106" s="12"/>
      <c r="D106" s="12"/>
      <c r="E106" s="12"/>
      <c r="F106" s="12"/>
      <c r="G106" s="12"/>
      <c r="H106" s="12"/>
      <c r="I106" s="12"/>
    </row>
    <row r="107" ht="21.75" customHeight="1">
      <c r="A107" s="16">
        <f t="shared" si="1"/>
        <v>101</v>
      </c>
      <c r="B107" s="12"/>
      <c r="C107" s="12"/>
      <c r="D107" s="12"/>
      <c r="E107" s="12"/>
      <c r="F107" s="12"/>
      <c r="G107" s="12"/>
      <c r="H107" s="12"/>
      <c r="I107" s="12"/>
    </row>
    <row r="108" ht="21.75" customHeight="1">
      <c r="A108" s="16">
        <f t="shared" si="1"/>
        <v>102</v>
      </c>
      <c r="B108" s="12"/>
      <c r="C108" s="12"/>
      <c r="D108" s="12"/>
      <c r="E108" s="12"/>
      <c r="F108" s="12"/>
      <c r="G108" s="12"/>
      <c r="H108" s="12"/>
      <c r="I108" s="12"/>
    </row>
    <row r="109" ht="21.75" customHeight="1">
      <c r="A109" s="16">
        <f t="shared" si="1"/>
        <v>103</v>
      </c>
      <c r="B109" s="12"/>
      <c r="C109" s="12"/>
      <c r="D109" s="12"/>
      <c r="E109" s="12"/>
      <c r="F109" s="12"/>
      <c r="G109" s="12"/>
      <c r="H109" s="12"/>
      <c r="I109" s="12"/>
    </row>
    <row r="110" ht="21.75" customHeight="1">
      <c r="A110" s="16">
        <f t="shared" si="1"/>
        <v>104</v>
      </c>
      <c r="B110" s="12"/>
      <c r="C110" s="12"/>
      <c r="D110" s="12"/>
      <c r="E110" s="12"/>
      <c r="F110" s="12"/>
      <c r="G110" s="12"/>
      <c r="H110" s="12"/>
      <c r="I110" s="12"/>
    </row>
    <row r="111" ht="21.75" customHeight="1">
      <c r="A111" s="16">
        <f t="shared" si="1"/>
        <v>105</v>
      </c>
      <c r="B111" s="12"/>
      <c r="C111" s="12"/>
      <c r="D111" s="12"/>
      <c r="E111" s="12"/>
      <c r="F111" s="12"/>
      <c r="G111" s="12"/>
      <c r="H111" s="12"/>
      <c r="I111" s="12"/>
    </row>
    <row r="112" ht="21.75" customHeight="1">
      <c r="A112" s="16">
        <f t="shared" si="1"/>
        <v>106</v>
      </c>
      <c r="B112" s="12"/>
      <c r="C112" s="12"/>
      <c r="D112" s="12"/>
      <c r="E112" s="12"/>
      <c r="F112" s="12"/>
      <c r="G112" s="12"/>
      <c r="H112" s="12"/>
      <c r="I112" s="12"/>
    </row>
    <row r="113" ht="21.75" customHeight="1">
      <c r="A113" s="16">
        <f t="shared" si="1"/>
        <v>107</v>
      </c>
      <c r="B113" s="12"/>
      <c r="C113" s="12"/>
      <c r="D113" s="12"/>
      <c r="E113" s="12"/>
      <c r="F113" s="12"/>
      <c r="G113" s="12"/>
      <c r="H113" s="12"/>
      <c r="I113" s="12"/>
    </row>
    <row r="114" ht="21.75" customHeight="1">
      <c r="A114" s="16">
        <f t="shared" si="1"/>
        <v>108</v>
      </c>
      <c r="B114" s="12"/>
      <c r="C114" s="12"/>
      <c r="D114" s="12"/>
      <c r="E114" s="12"/>
      <c r="F114" s="12"/>
      <c r="G114" s="12"/>
      <c r="H114" s="12"/>
      <c r="I114" s="12"/>
    </row>
    <row r="115" ht="21.75" customHeight="1">
      <c r="A115" s="16">
        <f t="shared" si="1"/>
        <v>109</v>
      </c>
      <c r="B115" s="12"/>
      <c r="C115" s="12"/>
      <c r="D115" s="12"/>
      <c r="E115" s="12"/>
      <c r="F115" s="12"/>
      <c r="G115" s="12"/>
      <c r="H115" s="12"/>
      <c r="I115" s="12"/>
    </row>
    <row r="116" ht="21.75" customHeight="1">
      <c r="A116" s="16">
        <f t="shared" si="1"/>
        <v>110</v>
      </c>
      <c r="B116" s="12"/>
      <c r="C116" s="12"/>
      <c r="D116" s="12"/>
      <c r="E116" s="12"/>
      <c r="F116" s="12"/>
      <c r="G116" s="12"/>
      <c r="H116" s="12"/>
      <c r="I116" s="12"/>
    </row>
    <row r="117" ht="21.75" customHeight="1">
      <c r="A117" s="16">
        <f t="shared" si="1"/>
        <v>111</v>
      </c>
      <c r="B117" s="12"/>
      <c r="C117" s="12"/>
      <c r="D117" s="12"/>
      <c r="E117" s="12"/>
      <c r="F117" s="12"/>
      <c r="G117" s="12"/>
      <c r="H117" s="12"/>
      <c r="I117" s="12"/>
    </row>
    <row r="118" ht="21.75" customHeight="1">
      <c r="A118" s="16">
        <f t="shared" si="1"/>
        <v>112</v>
      </c>
      <c r="B118" s="12"/>
      <c r="C118" s="12"/>
      <c r="D118" s="12"/>
      <c r="E118" s="12"/>
      <c r="F118" s="12"/>
      <c r="G118" s="12"/>
      <c r="H118" s="12"/>
      <c r="I118" s="12"/>
    </row>
    <row r="119" ht="21.75" customHeight="1">
      <c r="A119" s="16">
        <f t="shared" si="1"/>
        <v>113</v>
      </c>
      <c r="B119" s="12"/>
      <c r="C119" s="12"/>
      <c r="D119" s="12"/>
      <c r="E119" s="12"/>
      <c r="F119" s="12"/>
      <c r="G119" s="12"/>
      <c r="H119" s="12"/>
      <c r="I119" s="12"/>
    </row>
    <row r="120" ht="21.75" customHeight="1">
      <c r="A120" s="16">
        <f t="shared" si="1"/>
        <v>114</v>
      </c>
      <c r="B120" s="12"/>
      <c r="C120" s="12"/>
      <c r="D120" s="12"/>
      <c r="E120" s="12"/>
      <c r="F120" s="12"/>
      <c r="G120" s="12"/>
      <c r="H120" s="12"/>
      <c r="I120" s="12"/>
    </row>
    <row r="121" ht="21.75" customHeight="1">
      <c r="A121" s="16">
        <f t="shared" si="1"/>
        <v>115</v>
      </c>
      <c r="B121" s="12"/>
      <c r="C121" s="12"/>
      <c r="D121" s="12"/>
      <c r="E121" s="12"/>
      <c r="F121" s="12"/>
      <c r="G121" s="12"/>
      <c r="H121" s="12"/>
      <c r="I121" s="12"/>
    </row>
    <row r="122" ht="21.75" customHeight="1">
      <c r="A122" s="16">
        <f t="shared" si="1"/>
        <v>116</v>
      </c>
      <c r="B122" s="12"/>
      <c r="C122" s="12"/>
      <c r="D122" s="12"/>
      <c r="E122" s="12"/>
      <c r="F122" s="12"/>
      <c r="G122" s="12"/>
      <c r="H122" s="12"/>
      <c r="I122" s="12"/>
    </row>
    <row r="123" ht="21.75" customHeight="1">
      <c r="A123" s="16">
        <f t="shared" si="1"/>
        <v>117</v>
      </c>
      <c r="B123" s="12"/>
      <c r="C123" s="12"/>
      <c r="D123" s="12"/>
      <c r="E123" s="12"/>
      <c r="F123" s="12"/>
      <c r="G123" s="12"/>
      <c r="H123" s="12"/>
      <c r="I123" s="12"/>
    </row>
    <row r="124" ht="21.75" customHeight="1">
      <c r="A124" s="16">
        <f t="shared" si="1"/>
        <v>118</v>
      </c>
      <c r="B124" s="12"/>
      <c r="C124" s="12"/>
      <c r="D124" s="12"/>
      <c r="E124" s="12"/>
      <c r="F124" s="12"/>
      <c r="G124" s="12"/>
      <c r="H124" s="12"/>
      <c r="I124" s="12"/>
    </row>
    <row r="125" ht="21.75" customHeight="1">
      <c r="A125" s="16">
        <f t="shared" si="1"/>
        <v>119</v>
      </c>
      <c r="B125" s="12"/>
      <c r="C125" s="12"/>
      <c r="D125" s="12"/>
      <c r="E125" s="12"/>
      <c r="F125" s="12"/>
      <c r="G125" s="12"/>
      <c r="H125" s="12"/>
      <c r="I125" s="12"/>
    </row>
    <row r="126" ht="21.75" customHeight="1">
      <c r="A126" s="16">
        <f t="shared" si="1"/>
        <v>120</v>
      </c>
      <c r="B126" s="12"/>
      <c r="C126" s="12"/>
      <c r="D126" s="12"/>
      <c r="E126" s="12"/>
      <c r="F126" s="12"/>
      <c r="G126" s="12"/>
      <c r="H126" s="12"/>
      <c r="I126" s="12"/>
    </row>
    <row r="127" ht="21.75" customHeight="1">
      <c r="A127" s="16">
        <f t="shared" si="1"/>
        <v>121</v>
      </c>
      <c r="B127" s="12"/>
      <c r="C127" s="12"/>
      <c r="D127" s="12"/>
      <c r="E127" s="12"/>
      <c r="F127" s="12"/>
      <c r="G127" s="12"/>
      <c r="H127" s="12"/>
      <c r="I127" s="12"/>
    </row>
    <row r="128" ht="21.75" customHeight="1">
      <c r="A128" s="16">
        <f t="shared" si="1"/>
        <v>122</v>
      </c>
      <c r="B128" s="12"/>
      <c r="C128" s="12"/>
      <c r="D128" s="12"/>
      <c r="E128" s="12"/>
      <c r="F128" s="12"/>
      <c r="G128" s="12"/>
      <c r="H128" s="12"/>
      <c r="I128" s="12"/>
    </row>
    <row r="129" ht="21.75" customHeight="1">
      <c r="A129" s="16">
        <f t="shared" si="1"/>
        <v>123</v>
      </c>
      <c r="B129" s="12"/>
      <c r="C129" s="12"/>
      <c r="D129" s="12"/>
      <c r="E129" s="12"/>
      <c r="F129" s="12"/>
      <c r="G129" s="12"/>
      <c r="H129" s="12"/>
      <c r="I129" s="12"/>
    </row>
    <row r="130" ht="21.75" customHeight="1">
      <c r="A130" s="16">
        <f t="shared" si="1"/>
        <v>124</v>
      </c>
      <c r="B130" s="12"/>
      <c r="C130" s="12"/>
      <c r="D130" s="12"/>
      <c r="E130" s="12"/>
      <c r="F130" s="12"/>
      <c r="G130" s="12"/>
      <c r="H130" s="12"/>
      <c r="I130" s="12"/>
    </row>
    <row r="131" ht="21.75" customHeight="1">
      <c r="A131" s="16">
        <f t="shared" si="1"/>
        <v>125</v>
      </c>
      <c r="B131" s="12"/>
      <c r="C131" s="12"/>
      <c r="D131" s="12"/>
      <c r="E131" s="12"/>
      <c r="F131" s="12"/>
      <c r="G131" s="12"/>
      <c r="H131" s="12"/>
      <c r="I131" s="12"/>
    </row>
    <row r="132" ht="21.75" customHeight="1">
      <c r="A132" s="16">
        <f t="shared" si="1"/>
        <v>126</v>
      </c>
      <c r="B132" s="12"/>
      <c r="C132" s="12"/>
      <c r="D132" s="12"/>
      <c r="E132" s="12"/>
      <c r="F132" s="12"/>
      <c r="G132" s="12"/>
      <c r="H132" s="12"/>
      <c r="I132" s="12"/>
    </row>
    <row r="133" ht="21.75" customHeight="1">
      <c r="A133" s="16">
        <f t="shared" si="1"/>
        <v>127</v>
      </c>
      <c r="B133" s="12"/>
      <c r="C133" s="12"/>
      <c r="D133" s="12"/>
      <c r="E133" s="12"/>
      <c r="F133" s="12"/>
      <c r="G133" s="12"/>
      <c r="H133" s="12"/>
      <c r="I133" s="12"/>
    </row>
    <row r="134" ht="21.75" customHeight="1">
      <c r="A134" s="16">
        <f t="shared" si="1"/>
        <v>128</v>
      </c>
      <c r="B134" s="12"/>
      <c r="C134" s="12"/>
      <c r="D134" s="12"/>
      <c r="E134" s="12"/>
      <c r="F134" s="12"/>
      <c r="G134" s="12"/>
      <c r="H134" s="12"/>
      <c r="I134" s="12"/>
    </row>
    <row r="135" ht="21.75" customHeight="1">
      <c r="A135" s="16">
        <f t="shared" si="1"/>
        <v>129</v>
      </c>
      <c r="B135" s="12"/>
      <c r="C135" s="12"/>
      <c r="D135" s="12"/>
      <c r="E135" s="12"/>
      <c r="F135" s="12"/>
      <c r="G135" s="12"/>
      <c r="H135" s="12"/>
      <c r="I135" s="12"/>
    </row>
    <row r="136" ht="21.75" customHeight="1">
      <c r="A136" s="16">
        <f t="shared" si="1"/>
        <v>130</v>
      </c>
      <c r="B136" s="12"/>
      <c r="C136" s="12"/>
      <c r="D136" s="12"/>
      <c r="E136" s="12"/>
      <c r="F136" s="12"/>
      <c r="G136" s="12"/>
      <c r="H136" s="12"/>
      <c r="I136" s="12"/>
    </row>
    <row r="137" ht="21.75" customHeight="1">
      <c r="A137" s="16">
        <f t="shared" si="1"/>
        <v>131</v>
      </c>
      <c r="B137" s="12"/>
      <c r="C137" s="12"/>
      <c r="D137" s="12"/>
      <c r="E137" s="12"/>
      <c r="F137" s="12"/>
      <c r="G137" s="12"/>
      <c r="H137" s="12"/>
      <c r="I137" s="12"/>
    </row>
    <row r="138" ht="21.75" customHeight="1">
      <c r="A138" s="16">
        <f t="shared" si="1"/>
        <v>132</v>
      </c>
      <c r="B138" s="12"/>
      <c r="C138" s="12"/>
      <c r="D138" s="12"/>
      <c r="E138" s="12"/>
      <c r="F138" s="12"/>
      <c r="G138" s="12"/>
      <c r="H138" s="12"/>
      <c r="I138" s="12"/>
    </row>
    <row r="139" ht="21.75" customHeight="1">
      <c r="A139" s="16">
        <f t="shared" si="1"/>
        <v>133</v>
      </c>
      <c r="B139" s="12"/>
      <c r="C139" s="12"/>
      <c r="D139" s="12"/>
      <c r="E139" s="12"/>
      <c r="F139" s="12"/>
      <c r="G139" s="12"/>
      <c r="H139" s="12"/>
      <c r="I139" s="12"/>
    </row>
    <row r="140" ht="21.75" customHeight="1">
      <c r="A140" s="16">
        <f t="shared" si="1"/>
        <v>134</v>
      </c>
      <c r="B140" s="12"/>
      <c r="C140" s="12"/>
      <c r="D140" s="12"/>
      <c r="E140" s="12"/>
      <c r="F140" s="12"/>
      <c r="G140" s="12"/>
      <c r="H140" s="12"/>
      <c r="I140" s="12"/>
    </row>
    <row r="141" ht="21.75" customHeight="1">
      <c r="A141" s="16">
        <f t="shared" si="1"/>
        <v>135</v>
      </c>
      <c r="B141" s="12"/>
      <c r="C141" s="12"/>
      <c r="D141" s="12"/>
      <c r="E141" s="12"/>
      <c r="F141" s="12"/>
      <c r="G141" s="12"/>
      <c r="H141" s="12"/>
      <c r="I141" s="12"/>
    </row>
    <row r="142" ht="21.75" customHeight="1">
      <c r="A142" s="16">
        <f t="shared" si="1"/>
        <v>136</v>
      </c>
      <c r="B142" s="12"/>
      <c r="C142" s="12"/>
      <c r="D142" s="12"/>
      <c r="E142" s="12"/>
      <c r="F142" s="12"/>
      <c r="G142" s="12"/>
      <c r="H142" s="12"/>
      <c r="I142" s="12"/>
    </row>
    <row r="143" ht="21.75" customHeight="1">
      <c r="A143" s="16">
        <f t="shared" si="1"/>
        <v>137</v>
      </c>
      <c r="B143" s="12"/>
      <c r="C143" s="12"/>
      <c r="D143" s="12"/>
      <c r="E143" s="12"/>
      <c r="F143" s="12"/>
      <c r="G143" s="12"/>
      <c r="H143" s="12"/>
      <c r="I143" s="12"/>
    </row>
    <row r="144" ht="21.75" customHeight="1">
      <c r="A144" s="16">
        <f t="shared" si="1"/>
        <v>138</v>
      </c>
      <c r="B144" s="12"/>
      <c r="C144" s="12"/>
      <c r="D144" s="12"/>
      <c r="E144" s="12"/>
      <c r="F144" s="12"/>
      <c r="G144" s="12"/>
      <c r="H144" s="12"/>
      <c r="I144" s="12"/>
    </row>
    <row r="145" ht="21.75" customHeight="1">
      <c r="A145" s="16">
        <f t="shared" si="1"/>
        <v>139</v>
      </c>
      <c r="B145" s="12"/>
      <c r="C145" s="12"/>
      <c r="D145" s="12"/>
      <c r="E145" s="12"/>
      <c r="F145" s="12"/>
      <c r="G145" s="12"/>
      <c r="H145" s="12"/>
      <c r="I145" s="12"/>
    </row>
    <row r="146" ht="21.75" customHeight="1">
      <c r="A146" s="16">
        <f t="shared" si="1"/>
        <v>140</v>
      </c>
      <c r="B146" s="12"/>
      <c r="C146" s="12"/>
      <c r="D146" s="12"/>
      <c r="E146" s="12"/>
      <c r="F146" s="12"/>
      <c r="G146" s="12"/>
      <c r="H146" s="12"/>
      <c r="I146" s="12"/>
    </row>
    <row r="147" ht="21.75" customHeight="1">
      <c r="A147" s="16">
        <f t="shared" si="1"/>
        <v>141</v>
      </c>
      <c r="B147" s="12"/>
      <c r="C147" s="12"/>
      <c r="D147" s="12"/>
      <c r="E147" s="12"/>
      <c r="F147" s="12"/>
      <c r="G147" s="12"/>
      <c r="H147" s="12"/>
      <c r="I147" s="12"/>
    </row>
    <row r="148" ht="21.75" customHeight="1">
      <c r="A148" s="16">
        <f t="shared" si="1"/>
        <v>142</v>
      </c>
      <c r="B148" s="12"/>
      <c r="C148" s="12"/>
      <c r="D148" s="12"/>
      <c r="E148" s="12"/>
      <c r="F148" s="12"/>
      <c r="G148" s="12"/>
      <c r="H148" s="12"/>
      <c r="I148" s="12"/>
    </row>
    <row r="149" ht="21.75" customHeight="1">
      <c r="A149" s="16">
        <f t="shared" si="1"/>
        <v>143</v>
      </c>
      <c r="B149" s="12"/>
      <c r="C149" s="12"/>
      <c r="D149" s="12"/>
      <c r="E149" s="12"/>
      <c r="F149" s="12"/>
      <c r="G149" s="12"/>
      <c r="H149" s="12"/>
      <c r="I149" s="12"/>
    </row>
    <row r="150" ht="21.75" customHeight="1">
      <c r="A150" s="16">
        <f t="shared" si="1"/>
        <v>144</v>
      </c>
      <c r="B150" s="12"/>
      <c r="C150" s="12"/>
      <c r="D150" s="12"/>
      <c r="E150" s="12"/>
      <c r="F150" s="12"/>
      <c r="G150" s="12"/>
      <c r="H150" s="12"/>
      <c r="I150" s="12"/>
    </row>
    <row r="151" ht="21.75" customHeight="1">
      <c r="A151" s="16">
        <f t="shared" si="1"/>
        <v>145</v>
      </c>
      <c r="B151" s="12"/>
      <c r="C151" s="12"/>
      <c r="D151" s="12"/>
      <c r="E151" s="12"/>
      <c r="F151" s="12"/>
      <c r="G151" s="12"/>
      <c r="H151" s="12"/>
      <c r="I151" s="12"/>
    </row>
    <row r="152" ht="21.75" customHeight="1">
      <c r="A152" s="16">
        <f t="shared" si="1"/>
        <v>146</v>
      </c>
      <c r="B152" s="12"/>
      <c r="C152" s="12"/>
      <c r="D152" s="12"/>
      <c r="E152" s="12"/>
      <c r="F152" s="12"/>
      <c r="G152" s="12"/>
      <c r="H152" s="12"/>
      <c r="I152" s="12"/>
    </row>
    <row r="153" ht="21.75" customHeight="1">
      <c r="A153" s="16">
        <f t="shared" si="1"/>
        <v>147</v>
      </c>
      <c r="B153" s="12"/>
      <c r="C153" s="12"/>
      <c r="D153" s="12"/>
      <c r="E153" s="12"/>
      <c r="F153" s="12"/>
      <c r="G153" s="12"/>
      <c r="H153" s="12"/>
      <c r="I153" s="12"/>
    </row>
    <row r="154" ht="21.75" customHeight="1">
      <c r="A154" s="16">
        <f t="shared" si="1"/>
        <v>148</v>
      </c>
      <c r="B154" s="12"/>
      <c r="C154" s="12"/>
      <c r="D154" s="12"/>
      <c r="E154" s="12"/>
      <c r="F154" s="12"/>
      <c r="G154" s="12"/>
      <c r="H154" s="12"/>
      <c r="I154" s="12"/>
    </row>
    <row r="155" ht="21.75" customHeight="1">
      <c r="A155" s="16">
        <f t="shared" si="1"/>
        <v>149</v>
      </c>
      <c r="B155" s="12"/>
      <c r="C155" s="12"/>
      <c r="D155" s="12"/>
      <c r="E155" s="12"/>
      <c r="F155" s="12"/>
      <c r="G155" s="12"/>
      <c r="H155" s="12"/>
      <c r="I155" s="12"/>
    </row>
    <row r="156" ht="21.75" customHeight="1">
      <c r="A156" s="16">
        <f t="shared" si="1"/>
        <v>150</v>
      </c>
      <c r="B156" s="12"/>
      <c r="C156" s="12"/>
      <c r="D156" s="12"/>
      <c r="E156" s="12"/>
      <c r="F156" s="12"/>
      <c r="G156" s="12"/>
      <c r="H156" s="12"/>
      <c r="I156" s="12"/>
    </row>
    <row r="157" ht="21.75" customHeight="1">
      <c r="A157" s="16">
        <f t="shared" si="1"/>
        <v>151</v>
      </c>
      <c r="B157" s="12"/>
      <c r="C157" s="12"/>
      <c r="D157" s="12"/>
      <c r="E157" s="12"/>
      <c r="F157" s="12"/>
      <c r="G157" s="12"/>
      <c r="H157" s="12"/>
      <c r="I157" s="12"/>
    </row>
    <row r="158" ht="21.75" customHeight="1">
      <c r="A158" s="16">
        <f t="shared" si="1"/>
        <v>152</v>
      </c>
      <c r="B158" s="12"/>
      <c r="C158" s="12"/>
      <c r="D158" s="12"/>
      <c r="E158" s="12"/>
      <c r="F158" s="12"/>
      <c r="G158" s="12"/>
      <c r="H158" s="12"/>
      <c r="I158" s="12"/>
    </row>
    <row r="159" ht="21.75" customHeight="1">
      <c r="A159" s="16">
        <f t="shared" si="1"/>
        <v>153</v>
      </c>
      <c r="B159" s="12"/>
      <c r="C159" s="12"/>
      <c r="D159" s="12"/>
      <c r="E159" s="12"/>
      <c r="F159" s="12"/>
      <c r="G159" s="12"/>
      <c r="H159" s="12"/>
      <c r="I159" s="12"/>
    </row>
    <row r="160" ht="21.75" customHeight="1">
      <c r="A160" s="16">
        <f t="shared" si="1"/>
        <v>154</v>
      </c>
      <c r="B160" s="12"/>
      <c r="C160" s="12"/>
      <c r="D160" s="12"/>
      <c r="E160" s="12"/>
      <c r="F160" s="12"/>
      <c r="G160" s="12"/>
      <c r="H160" s="12"/>
      <c r="I160" s="12"/>
    </row>
    <row r="161" ht="21.75" customHeight="1">
      <c r="A161" s="16">
        <f t="shared" si="1"/>
        <v>155</v>
      </c>
      <c r="B161" s="12"/>
      <c r="C161" s="12"/>
      <c r="D161" s="12"/>
      <c r="E161" s="12"/>
      <c r="F161" s="12"/>
      <c r="G161" s="12"/>
      <c r="H161" s="12"/>
      <c r="I161" s="12"/>
    </row>
    <row r="162" ht="21.75" customHeight="1">
      <c r="A162" s="16">
        <f t="shared" si="1"/>
        <v>156</v>
      </c>
      <c r="B162" s="12"/>
      <c r="C162" s="12"/>
      <c r="D162" s="12"/>
      <c r="E162" s="12"/>
      <c r="F162" s="12"/>
      <c r="G162" s="12"/>
      <c r="H162" s="12"/>
      <c r="I162" s="12"/>
    </row>
    <row r="163" ht="21.75" customHeight="1">
      <c r="A163" s="16">
        <f t="shared" si="1"/>
        <v>157</v>
      </c>
      <c r="B163" s="12"/>
      <c r="C163" s="12"/>
      <c r="D163" s="12"/>
      <c r="E163" s="12"/>
      <c r="F163" s="12"/>
      <c r="G163" s="12"/>
      <c r="H163" s="12"/>
      <c r="I163" s="12"/>
    </row>
    <row r="164" ht="21.75" customHeight="1">
      <c r="A164" s="16">
        <f t="shared" si="1"/>
        <v>158</v>
      </c>
      <c r="B164" s="12"/>
      <c r="C164" s="12"/>
      <c r="D164" s="12"/>
      <c r="E164" s="12"/>
      <c r="F164" s="12"/>
      <c r="G164" s="12"/>
      <c r="H164" s="12"/>
      <c r="I164" s="12"/>
    </row>
    <row r="165" ht="21.75" customHeight="1">
      <c r="A165" s="16">
        <f t="shared" si="1"/>
        <v>159</v>
      </c>
      <c r="B165" s="12"/>
      <c r="C165" s="12"/>
      <c r="D165" s="12"/>
      <c r="E165" s="12"/>
      <c r="F165" s="12"/>
      <c r="G165" s="12"/>
      <c r="H165" s="12"/>
      <c r="I165" s="12"/>
    </row>
    <row r="166" ht="21.75" customHeight="1">
      <c r="A166" s="16">
        <f t="shared" si="1"/>
        <v>160</v>
      </c>
      <c r="B166" s="12"/>
      <c r="C166" s="12"/>
      <c r="D166" s="12"/>
      <c r="E166" s="12"/>
      <c r="F166" s="12"/>
      <c r="G166" s="12"/>
      <c r="H166" s="12"/>
      <c r="I166" s="12"/>
    </row>
    <row r="167" ht="21.75" customHeight="1">
      <c r="A167" s="16">
        <f t="shared" si="1"/>
        <v>161</v>
      </c>
      <c r="B167" s="12"/>
      <c r="C167" s="12"/>
      <c r="D167" s="12"/>
      <c r="E167" s="12"/>
      <c r="F167" s="12"/>
      <c r="G167" s="12"/>
      <c r="H167" s="12"/>
      <c r="I167" s="12"/>
    </row>
    <row r="168" ht="21.75" customHeight="1">
      <c r="A168" s="16">
        <f t="shared" si="1"/>
        <v>162</v>
      </c>
      <c r="B168" s="12"/>
      <c r="C168" s="12"/>
      <c r="D168" s="12"/>
      <c r="E168" s="12"/>
      <c r="F168" s="12"/>
      <c r="G168" s="12"/>
      <c r="H168" s="12"/>
      <c r="I168" s="12"/>
    </row>
    <row r="169" ht="21.75" customHeight="1">
      <c r="A169" s="16">
        <f t="shared" si="1"/>
        <v>163</v>
      </c>
      <c r="B169" s="12"/>
      <c r="C169" s="12"/>
      <c r="D169" s="12"/>
      <c r="E169" s="12"/>
      <c r="F169" s="12"/>
      <c r="G169" s="12"/>
      <c r="H169" s="12"/>
      <c r="I169" s="12"/>
    </row>
    <row r="170" ht="21.75" customHeight="1">
      <c r="A170" s="16">
        <f t="shared" si="1"/>
        <v>164</v>
      </c>
      <c r="B170" s="12"/>
      <c r="C170" s="12"/>
      <c r="D170" s="12"/>
      <c r="E170" s="12"/>
      <c r="F170" s="12"/>
      <c r="G170" s="12"/>
      <c r="H170" s="12"/>
      <c r="I170" s="12"/>
    </row>
    <row r="171" ht="21.75" customHeight="1">
      <c r="A171" s="16">
        <f t="shared" si="1"/>
        <v>165</v>
      </c>
      <c r="B171" s="12"/>
      <c r="C171" s="12"/>
      <c r="D171" s="12"/>
      <c r="E171" s="12"/>
      <c r="F171" s="12"/>
      <c r="G171" s="12"/>
      <c r="H171" s="12"/>
      <c r="I171" s="12"/>
    </row>
    <row r="172" ht="21.75" customHeight="1">
      <c r="A172" s="16">
        <f t="shared" si="1"/>
        <v>166</v>
      </c>
      <c r="B172" s="12"/>
      <c r="C172" s="12"/>
      <c r="D172" s="12"/>
      <c r="E172" s="12"/>
      <c r="F172" s="12"/>
      <c r="G172" s="12"/>
      <c r="H172" s="12"/>
      <c r="I172" s="12"/>
    </row>
    <row r="173" ht="21.75" customHeight="1">
      <c r="A173" s="16">
        <f t="shared" si="1"/>
        <v>167</v>
      </c>
      <c r="B173" s="12"/>
      <c r="C173" s="12"/>
      <c r="D173" s="12"/>
      <c r="E173" s="12"/>
      <c r="F173" s="12"/>
      <c r="G173" s="12"/>
      <c r="H173" s="12"/>
      <c r="I173" s="12"/>
    </row>
    <row r="174" ht="21.75" customHeight="1">
      <c r="A174" s="16">
        <f t="shared" si="1"/>
        <v>168</v>
      </c>
      <c r="B174" s="12"/>
      <c r="C174" s="12"/>
      <c r="D174" s="12"/>
      <c r="E174" s="12"/>
      <c r="F174" s="12"/>
      <c r="G174" s="12"/>
      <c r="H174" s="12"/>
      <c r="I174" s="12"/>
    </row>
    <row r="175" ht="21.75" customHeight="1">
      <c r="A175" s="16">
        <f t="shared" si="1"/>
        <v>169</v>
      </c>
      <c r="B175" s="12"/>
      <c r="C175" s="12"/>
      <c r="D175" s="12"/>
      <c r="E175" s="12"/>
      <c r="F175" s="12"/>
      <c r="G175" s="12"/>
      <c r="H175" s="12"/>
      <c r="I175" s="12"/>
    </row>
    <row r="176" ht="21.75" customHeight="1">
      <c r="A176" s="16">
        <f t="shared" si="1"/>
        <v>170</v>
      </c>
      <c r="B176" s="12"/>
      <c r="C176" s="12"/>
      <c r="D176" s="12"/>
      <c r="E176" s="12"/>
      <c r="F176" s="12"/>
      <c r="G176" s="12"/>
      <c r="H176" s="12"/>
      <c r="I176" s="12"/>
    </row>
    <row r="177" ht="21.75" customHeight="1">
      <c r="A177" s="16">
        <f t="shared" si="1"/>
        <v>171</v>
      </c>
      <c r="B177" s="12"/>
      <c r="C177" s="12"/>
      <c r="D177" s="12"/>
      <c r="E177" s="12"/>
      <c r="F177" s="12"/>
      <c r="G177" s="12"/>
      <c r="H177" s="12"/>
      <c r="I177" s="12"/>
    </row>
    <row r="178" ht="21.75" customHeight="1">
      <c r="A178" s="16">
        <f t="shared" si="1"/>
        <v>172</v>
      </c>
      <c r="B178" s="12"/>
      <c r="C178" s="12"/>
      <c r="D178" s="12"/>
      <c r="E178" s="12"/>
      <c r="F178" s="12"/>
      <c r="G178" s="12"/>
      <c r="H178" s="12"/>
      <c r="I178" s="12"/>
    </row>
    <row r="179" ht="21.75" customHeight="1">
      <c r="A179" s="16">
        <f t="shared" si="1"/>
        <v>173</v>
      </c>
      <c r="B179" s="12"/>
      <c r="C179" s="12"/>
      <c r="D179" s="12"/>
      <c r="E179" s="12"/>
      <c r="F179" s="12"/>
      <c r="G179" s="12"/>
      <c r="H179" s="12"/>
      <c r="I179" s="12"/>
    </row>
    <row r="180" ht="21.75" customHeight="1">
      <c r="A180" s="16">
        <f t="shared" si="1"/>
        <v>174</v>
      </c>
      <c r="B180" s="12"/>
      <c r="C180" s="12"/>
      <c r="D180" s="12"/>
      <c r="E180" s="12"/>
      <c r="F180" s="12"/>
      <c r="G180" s="12"/>
      <c r="H180" s="12"/>
      <c r="I180" s="12"/>
    </row>
    <row r="181" ht="21.75" customHeight="1">
      <c r="A181" s="16">
        <f t="shared" si="1"/>
        <v>175</v>
      </c>
      <c r="B181" s="12"/>
      <c r="C181" s="12"/>
      <c r="D181" s="12"/>
      <c r="E181" s="12"/>
      <c r="F181" s="12"/>
      <c r="G181" s="12"/>
      <c r="H181" s="12"/>
      <c r="I181" s="12"/>
    </row>
    <row r="182" ht="21.75" customHeight="1">
      <c r="A182" s="16">
        <f t="shared" si="1"/>
        <v>176</v>
      </c>
      <c r="B182" s="12"/>
      <c r="C182" s="12"/>
      <c r="D182" s="12"/>
      <c r="E182" s="12"/>
      <c r="F182" s="12"/>
      <c r="G182" s="12"/>
      <c r="H182" s="12"/>
      <c r="I182" s="12"/>
    </row>
    <row r="183" ht="21.75" customHeight="1">
      <c r="A183" s="16">
        <f t="shared" si="1"/>
        <v>177</v>
      </c>
      <c r="B183" s="12"/>
      <c r="C183" s="12"/>
      <c r="D183" s="12"/>
      <c r="E183" s="12"/>
      <c r="F183" s="12"/>
      <c r="G183" s="12"/>
      <c r="H183" s="12"/>
      <c r="I183" s="12"/>
    </row>
    <row r="184" ht="21.75" customHeight="1">
      <c r="A184" s="16">
        <f t="shared" si="1"/>
        <v>178</v>
      </c>
      <c r="B184" s="12"/>
      <c r="C184" s="12"/>
      <c r="D184" s="12"/>
      <c r="E184" s="12"/>
      <c r="F184" s="12"/>
      <c r="G184" s="12"/>
      <c r="H184" s="12"/>
      <c r="I184" s="12"/>
    </row>
    <row r="185" ht="21.75" customHeight="1">
      <c r="A185" s="16">
        <f t="shared" si="1"/>
        <v>179</v>
      </c>
      <c r="B185" s="12"/>
      <c r="C185" s="12"/>
      <c r="D185" s="12"/>
      <c r="E185" s="12"/>
      <c r="F185" s="12"/>
      <c r="G185" s="12"/>
      <c r="H185" s="12"/>
      <c r="I185" s="12"/>
    </row>
    <row r="186" ht="21.75" customHeight="1">
      <c r="A186" s="16">
        <f t="shared" si="1"/>
        <v>180</v>
      </c>
      <c r="B186" s="12"/>
      <c r="C186" s="12"/>
      <c r="D186" s="12"/>
      <c r="E186" s="12"/>
      <c r="F186" s="12"/>
      <c r="G186" s="12"/>
      <c r="H186" s="12"/>
      <c r="I186" s="12"/>
    </row>
    <row r="187" ht="21.75" customHeight="1">
      <c r="A187" s="16">
        <f t="shared" si="1"/>
        <v>181</v>
      </c>
      <c r="B187" s="12"/>
      <c r="C187" s="12"/>
      <c r="D187" s="12"/>
      <c r="E187" s="12"/>
      <c r="F187" s="12"/>
      <c r="G187" s="12"/>
      <c r="H187" s="12"/>
      <c r="I187" s="12"/>
    </row>
    <row r="188" ht="21.75" customHeight="1">
      <c r="A188" s="16">
        <f t="shared" si="1"/>
        <v>182</v>
      </c>
      <c r="B188" s="12"/>
      <c r="C188" s="12"/>
      <c r="D188" s="12"/>
      <c r="E188" s="12"/>
      <c r="F188" s="12"/>
      <c r="G188" s="12"/>
      <c r="H188" s="12"/>
      <c r="I188" s="12"/>
    </row>
    <row r="189" ht="21.75" customHeight="1">
      <c r="A189" s="16">
        <f t="shared" si="1"/>
        <v>183</v>
      </c>
      <c r="B189" s="12"/>
      <c r="C189" s="12"/>
      <c r="D189" s="12"/>
      <c r="E189" s="12"/>
      <c r="F189" s="12"/>
      <c r="G189" s="12"/>
      <c r="H189" s="12"/>
      <c r="I189" s="12"/>
    </row>
    <row r="190" ht="21.75" customHeight="1">
      <c r="A190" s="16">
        <f t="shared" si="1"/>
        <v>184</v>
      </c>
      <c r="B190" s="12"/>
      <c r="C190" s="12"/>
      <c r="D190" s="12"/>
      <c r="E190" s="12"/>
      <c r="F190" s="12"/>
      <c r="G190" s="12"/>
      <c r="H190" s="12"/>
      <c r="I190" s="12"/>
    </row>
    <row r="191" ht="21.75" customHeight="1">
      <c r="A191" s="16">
        <f t="shared" si="1"/>
        <v>185</v>
      </c>
      <c r="B191" s="12"/>
      <c r="C191" s="12"/>
      <c r="D191" s="12"/>
      <c r="E191" s="12"/>
      <c r="F191" s="12"/>
      <c r="G191" s="12"/>
      <c r="H191" s="12"/>
      <c r="I191" s="12"/>
    </row>
    <row r="192" ht="21.75" customHeight="1">
      <c r="A192" s="16">
        <f t="shared" si="1"/>
        <v>186</v>
      </c>
      <c r="B192" s="12"/>
      <c r="C192" s="12"/>
      <c r="D192" s="12"/>
      <c r="E192" s="12"/>
      <c r="F192" s="12"/>
      <c r="G192" s="12"/>
      <c r="H192" s="12"/>
      <c r="I192" s="12"/>
    </row>
    <row r="193" ht="21.75" customHeight="1">
      <c r="A193" s="16">
        <f t="shared" si="1"/>
        <v>187</v>
      </c>
      <c r="B193" s="12"/>
      <c r="C193" s="12"/>
      <c r="D193" s="12"/>
      <c r="E193" s="12"/>
      <c r="F193" s="12"/>
      <c r="G193" s="12"/>
      <c r="H193" s="12"/>
      <c r="I193" s="12"/>
    </row>
    <row r="194" ht="21.75" customHeight="1">
      <c r="A194" s="16">
        <f t="shared" si="1"/>
        <v>188</v>
      </c>
      <c r="B194" s="12"/>
      <c r="C194" s="12"/>
      <c r="D194" s="12"/>
      <c r="E194" s="12"/>
      <c r="F194" s="12"/>
      <c r="G194" s="12"/>
      <c r="H194" s="12"/>
      <c r="I194" s="12"/>
    </row>
    <row r="195" ht="21.75" customHeight="1">
      <c r="A195" s="16">
        <f t="shared" si="1"/>
        <v>189</v>
      </c>
      <c r="B195" s="12"/>
      <c r="C195" s="12"/>
      <c r="D195" s="12"/>
      <c r="E195" s="12"/>
      <c r="F195" s="12"/>
      <c r="G195" s="12"/>
      <c r="H195" s="12"/>
      <c r="I195" s="12"/>
    </row>
    <row r="196" ht="21.75" customHeight="1">
      <c r="A196" s="16">
        <f t="shared" si="1"/>
        <v>190</v>
      </c>
      <c r="B196" s="12"/>
      <c r="C196" s="12"/>
      <c r="D196" s="12"/>
      <c r="E196" s="12"/>
      <c r="F196" s="12"/>
      <c r="G196" s="12"/>
      <c r="H196" s="12"/>
      <c r="I196" s="12"/>
    </row>
    <row r="197" ht="21.75" customHeight="1">
      <c r="A197" s="16">
        <f t="shared" si="1"/>
        <v>191</v>
      </c>
      <c r="B197" s="12"/>
      <c r="C197" s="12"/>
      <c r="D197" s="12"/>
      <c r="E197" s="12"/>
      <c r="F197" s="12"/>
      <c r="G197" s="12"/>
      <c r="H197" s="12"/>
      <c r="I197" s="12"/>
    </row>
    <row r="198" ht="21.75" customHeight="1">
      <c r="A198" s="16">
        <f t="shared" si="1"/>
        <v>192</v>
      </c>
      <c r="B198" s="12"/>
      <c r="C198" s="12"/>
      <c r="D198" s="12"/>
      <c r="E198" s="12"/>
      <c r="F198" s="12"/>
      <c r="G198" s="12"/>
      <c r="H198" s="12"/>
      <c r="I198" s="12"/>
    </row>
    <row r="199" ht="21.75" customHeight="1">
      <c r="A199" s="16">
        <f t="shared" si="1"/>
        <v>193</v>
      </c>
      <c r="B199" s="12"/>
      <c r="C199" s="12"/>
      <c r="D199" s="12"/>
      <c r="E199" s="12"/>
      <c r="F199" s="12"/>
      <c r="G199" s="12"/>
      <c r="H199" s="12"/>
      <c r="I199" s="12"/>
    </row>
    <row r="200" ht="21.75" customHeight="1">
      <c r="A200" s="16">
        <f t="shared" si="1"/>
        <v>194</v>
      </c>
      <c r="B200" s="12"/>
      <c r="C200" s="12"/>
      <c r="D200" s="12"/>
      <c r="E200" s="12"/>
      <c r="F200" s="12"/>
      <c r="G200" s="12"/>
      <c r="H200" s="12"/>
      <c r="I200" s="12"/>
    </row>
    <row r="201" ht="21.75" customHeight="1">
      <c r="A201" s="16">
        <f t="shared" si="1"/>
        <v>195</v>
      </c>
      <c r="B201" s="12"/>
      <c r="C201" s="12"/>
      <c r="D201" s="12"/>
      <c r="E201" s="12"/>
      <c r="F201" s="12"/>
      <c r="G201" s="12"/>
      <c r="H201" s="12"/>
      <c r="I201" s="12"/>
    </row>
    <row r="202" ht="21.75" customHeight="1">
      <c r="A202" s="16">
        <f t="shared" si="1"/>
        <v>196</v>
      </c>
      <c r="B202" s="12"/>
      <c r="C202" s="12"/>
      <c r="D202" s="12"/>
      <c r="E202" s="12"/>
      <c r="F202" s="12"/>
      <c r="G202" s="12"/>
      <c r="H202" s="12"/>
      <c r="I202" s="12"/>
    </row>
    <row r="203" ht="21.75" customHeight="1">
      <c r="A203" s="16">
        <f t="shared" si="1"/>
        <v>197</v>
      </c>
      <c r="B203" s="12"/>
      <c r="C203" s="12"/>
      <c r="D203" s="12"/>
      <c r="E203" s="12"/>
      <c r="F203" s="12"/>
      <c r="G203" s="12"/>
      <c r="H203" s="12"/>
      <c r="I203" s="12"/>
    </row>
    <row r="204" ht="21.75" customHeight="1">
      <c r="A204" s="16">
        <f t="shared" si="1"/>
        <v>198</v>
      </c>
      <c r="B204" s="12"/>
      <c r="C204" s="12"/>
      <c r="D204" s="12"/>
      <c r="E204" s="12"/>
      <c r="F204" s="12"/>
      <c r="G204" s="12"/>
      <c r="H204" s="12"/>
      <c r="I204" s="12"/>
    </row>
    <row r="205" ht="21.75" customHeight="1">
      <c r="A205" s="16">
        <f t="shared" si="1"/>
        <v>199</v>
      </c>
      <c r="B205" s="12"/>
      <c r="C205" s="12"/>
      <c r="D205" s="12"/>
      <c r="E205" s="12"/>
      <c r="F205" s="12"/>
      <c r="G205" s="12"/>
      <c r="H205" s="12"/>
      <c r="I205" s="12"/>
    </row>
    <row r="206" ht="21.75" customHeight="1">
      <c r="A206" s="16">
        <f t="shared" si="1"/>
        <v>200</v>
      </c>
      <c r="B206" s="12"/>
      <c r="C206" s="12"/>
      <c r="D206" s="12"/>
      <c r="E206" s="12"/>
      <c r="F206" s="12"/>
      <c r="G206" s="12"/>
      <c r="H206" s="12"/>
      <c r="I206" s="12"/>
    </row>
    <row r="207" ht="21.75" customHeight="1">
      <c r="A207" s="16">
        <f t="shared" si="1"/>
        <v>201</v>
      </c>
      <c r="B207" s="12"/>
      <c r="C207" s="12"/>
      <c r="D207" s="12"/>
      <c r="E207" s="12"/>
      <c r="F207" s="12"/>
      <c r="G207" s="12"/>
      <c r="H207" s="12"/>
      <c r="I207" s="12"/>
    </row>
    <row r="208" ht="21.75" customHeight="1">
      <c r="A208" s="16">
        <f t="shared" si="1"/>
        <v>202</v>
      </c>
      <c r="B208" s="12"/>
      <c r="C208" s="12"/>
      <c r="D208" s="12"/>
      <c r="E208" s="12"/>
      <c r="F208" s="12"/>
      <c r="G208" s="12"/>
      <c r="H208" s="12"/>
      <c r="I208" s="12"/>
    </row>
    <row r="209" ht="21.75" customHeight="1">
      <c r="A209" s="16">
        <f t="shared" si="1"/>
        <v>203</v>
      </c>
      <c r="B209" s="12"/>
      <c r="C209" s="12"/>
      <c r="D209" s="12"/>
      <c r="E209" s="12"/>
      <c r="F209" s="12"/>
      <c r="G209" s="12"/>
      <c r="H209" s="12"/>
      <c r="I209" s="12"/>
    </row>
    <row r="210" ht="21.75" customHeight="1">
      <c r="A210" s="16">
        <f t="shared" si="1"/>
        <v>204</v>
      </c>
      <c r="B210" s="12"/>
      <c r="C210" s="12"/>
      <c r="D210" s="12"/>
      <c r="E210" s="12"/>
      <c r="F210" s="12"/>
      <c r="G210" s="12"/>
      <c r="H210" s="12"/>
      <c r="I210" s="12"/>
    </row>
    <row r="211" ht="21.75" customHeight="1">
      <c r="A211" s="16">
        <f t="shared" si="1"/>
        <v>205</v>
      </c>
      <c r="B211" s="12"/>
      <c r="C211" s="12"/>
      <c r="D211" s="12"/>
      <c r="E211" s="12"/>
      <c r="F211" s="12"/>
      <c r="G211" s="12"/>
      <c r="H211" s="12"/>
      <c r="I211" s="12"/>
    </row>
    <row r="212" ht="21.75" customHeight="1">
      <c r="A212" s="16">
        <f t="shared" si="1"/>
        <v>206</v>
      </c>
      <c r="B212" s="12"/>
      <c r="C212" s="12"/>
      <c r="D212" s="12"/>
      <c r="E212" s="12"/>
      <c r="F212" s="12"/>
      <c r="G212" s="12"/>
      <c r="H212" s="12"/>
      <c r="I212" s="12"/>
    </row>
    <row r="213" ht="21.75" customHeight="1">
      <c r="A213" s="16">
        <f t="shared" si="1"/>
        <v>207</v>
      </c>
      <c r="B213" s="12"/>
      <c r="C213" s="12"/>
      <c r="D213" s="12"/>
      <c r="E213" s="12"/>
      <c r="F213" s="12"/>
      <c r="G213" s="12"/>
      <c r="H213" s="12"/>
      <c r="I213" s="12"/>
    </row>
    <row r="214" ht="21.75" customHeight="1">
      <c r="A214" s="16">
        <f t="shared" si="1"/>
        <v>208</v>
      </c>
      <c r="B214" s="12"/>
      <c r="C214" s="12"/>
      <c r="D214" s="12"/>
      <c r="E214" s="12"/>
      <c r="F214" s="12"/>
      <c r="G214" s="12"/>
      <c r="H214" s="12"/>
      <c r="I214" s="12"/>
    </row>
    <row r="215" ht="21.75" customHeight="1">
      <c r="A215" s="16">
        <f t="shared" si="1"/>
        <v>209</v>
      </c>
      <c r="B215" s="12"/>
      <c r="C215" s="12"/>
      <c r="D215" s="12"/>
      <c r="E215" s="12"/>
      <c r="F215" s="12"/>
      <c r="G215" s="12"/>
      <c r="H215" s="12"/>
      <c r="I215" s="12"/>
    </row>
    <row r="216" ht="21.75" customHeight="1">
      <c r="A216" s="16">
        <f t="shared" si="1"/>
        <v>210</v>
      </c>
      <c r="B216" s="12"/>
      <c r="C216" s="12"/>
      <c r="D216" s="12"/>
      <c r="E216" s="12"/>
      <c r="F216" s="12"/>
      <c r="G216" s="12"/>
      <c r="H216" s="12"/>
      <c r="I216" s="12"/>
    </row>
    <row r="217" ht="21.75" customHeight="1">
      <c r="A217" s="16">
        <f t="shared" si="1"/>
        <v>211</v>
      </c>
      <c r="B217" s="12"/>
      <c r="C217" s="12"/>
      <c r="D217" s="12"/>
      <c r="E217" s="12"/>
      <c r="F217" s="12"/>
      <c r="G217" s="12"/>
      <c r="H217" s="12"/>
      <c r="I217" s="12"/>
    </row>
    <row r="218" ht="21.75" customHeight="1">
      <c r="A218" s="16">
        <f t="shared" si="1"/>
        <v>212</v>
      </c>
      <c r="B218" s="12"/>
      <c r="C218" s="12"/>
      <c r="D218" s="12"/>
      <c r="E218" s="12"/>
      <c r="F218" s="12"/>
      <c r="G218" s="12"/>
      <c r="H218" s="12"/>
      <c r="I218" s="12"/>
    </row>
    <row r="219" ht="21.75" customHeight="1">
      <c r="A219" s="16">
        <f t="shared" si="1"/>
        <v>213</v>
      </c>
      <c r="B219" s="12"/>
      <c r="C219" s="12"/>
      <c r="D219" s="12"/>
      <c r="E219" s="12"/>
      <c r="F219" s="12"/>
      <c r="G219" s="12"/>
      <c r="H219" s="12"/>
      <c r="I219" s="12"/>
    </row>
    <row r="220" ht="21.75" customHeight="1">
      <c r="A220" s="16">
        <f t="shared" si="1"/>
        <v>214</v>
      </c>
      <c r="B220" s="12"/>
      <c r="C220" s="12"/>
      <c r="D220" s="12"/>
      <c r="E220" s="12"/>
      <c r="F220" s="12"/>
      <c r="G220" s="12"/>
      <c r="H220" s="12"/>
      <c r="I220" s="12"/>
    </row>
    <row r="221" ht="21.75" customHeight="1">
      <c r="A221" s="16">
        <f t="shared" si="1"/>
        <v>215</v>
      </c>
      <c r="B221" s="12"/>
      <c r="C221" s="12"/>
      <c r="D221" s="12"/>
      <c r="E221" s="12"/>
      <c r="F221" s="12"/>
      <c r="G221" s="12"/>
      <c r="H221" s="12"/>
      <c r="I221" s="12"/>
    </row>
    <row r="222" ht="21.75" customHeight="1">
      <c r="A222" s="16">
        <f t="shared" si="1"/>
        <v>216</v>
      </c>
      <c r="B222" s="12"/>
      <c r="C222" s="12"/>
      <c r="D222" s="12"/>
      <c r="E222" s="12"/>
      <c r="F222" s="12"/>
      <c r="G222" s="12"/>
      <c r="H222" s="12"/>
      <c r="I222" s="12"/>
    </row>
    <row r="223" ht="21.75" customHeight="1">
      <c r="A223" s="16">
        <f t="shared" si="1"/>
        <v>217</v>
      </c>
      <c r="B223" s="12"/>
      <c r="C223" s="12"/>
      <c r="D223" s="12"/>
      <c r="E223" s="12"/>
      <c r="F223" s="12"/>
      <c r="G223" s="12"/>
      <c r="H223" s="12"/>
      <c r="I223" s="12"/>
    </row>
    <row r="224" ht="21.75" customHeight="1">
      <c r="A224" s="16">
        <f t="shared" si="1"/>
        <v>218</v>
      </c>
      <c r="B224" s="12"/>
      <c r="C224" s="12"/>
      <c r="D224" s="12"/>
      <c r="E224" s="12"/>
      <c r="F224" s="12"/>
      <c r="G224" s="12"/>
      <c r="H224" s="12"/>
      <c r="I224" s="12"/>
    </row>
    <row r="225" ht="21.75" customHeight="1">
      <c r="A225" s="16">
        <f t="shared" si="1"/>
        <v>219</v>
      </c>
      <c r="B225" s="12"/>
      <c r="C225" s="12"/>
      <c r="D225" s="12"/>
      <c r="E225" s="12"/>
      <c r="F225" s="12"/>
      <c r="G225" s="12"/>
      <c r="H225" s="12"/>
      <c r="I225" s="12"/>
    </row>
    <row r="226" ht="21.75" customHeight="1">
      <c r="A226" s="16">
        <f t="shared" si="1"/>
        <v>220</v>
      </c>
      <c r="B226" s="12"/>
      <c r="C226" s="12"/>
      <c r="D226" s="12"/>
      <c r="E226" s="12"/>
      <c r="F226" s="12"/>
      <c r="G226" s="12"/>
      <c r="H226" s="12"/>
      <c r="I226" s="12"/>
    </row>
    <row r="227" ht="21.75" customHeight="1">
      <c r="A227" s="16">
        <f t="shared" si="1"/>
        <v>221</v>
      </c>
      <c r="B227" s="12"/>
      <c r="C227" s="12"/>
      <c r="D227" s="12"/>
      <c r="E227" s="12"/>
      <c r="F227" s="12"/>
      <c r="G227" s="12"/>
      <c r="H227" s="12"/>
      <c r="I227" s="12"/>
    </row>
    <row r="228" ht="21.75" customHeight="1">
      <c r="A228" s="16">
        <f t="shared" si="1"/>
        <v>222</v>
      </c>
      <c r="B228" s="12"/>
      <c r="C228" s="12"/>
      <c r="D228" s="12"/>
      <c r="E228" s="12"/>
      <c r="F228" s="12"/>
      <c r="G228" s="12"/>
      <c r="H228" s="12"/>
      <c r="I228" s="12"/>
    </row>
    <row r="229" ht="21.75" customHeight="1">
      <c r="A229" s="16">
        <f t="shared" si="1"/>
        <v>223</v>
      </c>
      <c r="B229" s="12"/>
      <c r="C229" s="12"/>
      <c r="D229" s="12"/>
      <c r="E229" s="12"/>
      <c r="F229" s="12"/>
      <c r="G229" s="12"/>
      <c r="H229" s="12"/>
      <c r="I229" s="12"/>
    </row>
    <row r="230" ht="21.75" customHeight="1">
      <c r="A230" s="16">
        <f t="shared" si="1"/>
        <v>224</v>
      </c>
      <c r="B230" s="12"/>
      <c r="C230" s="12"/>
      <c r="D230" s="12"/>
      <c r="E230" s="12"/>
      <c r="F230" s="12"/>
      <c r="G230" s="12"/>
      <c r="H230" s="12"/>
      <c r="I230" s="12"/>
    </row>
    <row r="231" ht="21.75" customHeight="1">
      <c r="A231" s="16">
        <f t="shared" si="1"/>
        <v>225</v>
      </c>
      <c r="B231" s="12"/>
      <c r="C231" s="12"/>
      <c r="D231" s="12"/>
      <c r="E231" s="12"/>
      <c r="F231" s="12"/>
      <c r="G231" s="12"/>
      <c r="H231" s="12"/>
      <c r="I231" s="12"/>
    </row>
    <row r="232" ht="21.75" customHeight="1">
      <c r="A232" s="16">
        <f t="shared" si="1"/>
        <v>226</v>
      </c>
      <c r="B232" s="12"/>
      <c r="C232" s="12"/>
      <c r="D232" s="12"/>
      <c r="E232" s="12"/>
      <c r="F232" s="12"/>
      <c r="G232" s="12"/>
      <c r="H232" s="12"/>
      <c r="I232" s="12"/>
    </row>
    <row r="233" ht="21.75" customHeight="1">
      <c r="A233" s="16">
        <f t="shared" si="1"/>
        <v>227</v>
      </c>
      <c r="B233" s="12"/>
      <c r="C233" s="12"/>
      <c r="D233" s="12"/>
      <c r="E233" s="12"/>
      <c r="F233" s="12"/>
      <c r="G233" s="12"/>
      <c r="H233" s="12"/>
      <c r="I233" s="12"/>
    </row>
    <row r="234" ht="21.75" customHeight="1">
      <c r="A234" s="16">
        <f t="shared" si="1"/>
        <v>228</v>
      </c>
      <c r="B234" s="12"/>
      <c r="C234" s="12"/>
      <c r="D234" s="12"/>
      <c r="E234" s="12"/>
      <c r="F234" s="12"/>
      <c r="G234" s="12"/>
      <c r="H234" s="12"/>
      <c r="I234" s="12"/>
    </row>
    <row r="235" ht="21.75" customHeight="1">
      <c r="A235" s="16">
        <f t="shared" si="1"/>
        <v>229</v>
      </c>
      <c r="B235" s="12"/>
      <c r="C235" s="12"/>
      <c r="D235" s="12"/>
      <c r="E235" s="12"/>
      <c r="F235" s="12"/>
      <c r="G235" s="12"/>
      <c r="H235" s="12"/>
      <c r="I235" s="12"/>
    </row>
    <row r="236" ht="21.75" customHeight="1">
      <c r="A236" s="16">
        <f t="shared" si="1"/>
        <v>230</v>
      </c>
      <c r="B236" s="12"/>
      <c r="C236" s="12"/>
      <c r="D236" s="12"/>
      <c r="E236" s="12"/>
      <c r="F236" s="12"/>
      <c r="G236" s="12"/>
      <c r="H236" s="12"/>
      <c r="I236" s="12"/>
    </row>
    <row r="237" ht="21.75" customHeight="1">
      <c r="A237" s="16">
        <f t="shared" si="1"/>
        <v>231</v>
      </c>
      <c r="B237" s="12"/>
      <c r="C237" s="12"/>
      <c r="D237" s="12"/>
      <c r="E237" s="12"/>
      <c r="F237" s="12"/>
      <c r="G237" s="12"/>
      <c r="H237" s="12"/>
      <c r="I237" s="12"/>
    </row>
    <row r="238" ht="21.75" customHeight="1">
      <c r="A238" s="16">
        <f t="shared" si="1"/>
        <v>232</v>
      </c>
      <c r="B238" s="12"/>
      <c r="C238" s="12"/>
      <c r="D238" s="12"/>
      <c r="E238" s="12"/>
      <c r="F238" s="12"/>
      <c r="G238" s="12"/>
      <c r="H238" s="12"/>
      <c r="I238" s="12"/>
    </row>
    <row r="239" ht="21.75" customHeight="1">
      <c r="A239" s="16">
        <f t="shared" si="1"/>
        <v>233</v>
      </c>
      <c r="B239" s="12"/>
      <c r="C239" s="12"/>
      <c r="D239" s="12"/>
      <c r="E239" s="12"/>
      <c r="F239" s="12"/>
      <c r="G239" s="12"/>
      <c r="H239" s="12"/>
      <c r="I239" s="12"/>
    </row>
    <row r="240" ht="21.75" customHeight="1">
      <c r="A240" s="16">
        <f t="shared" si="1"/>
        <v>234</v>
      </c>
      <c r="B240" s="12"/>
      <c r="C240" s="12"/>
      <c r="D240" s="12"/>
      <c r="E240" s="12"/>
      <c r="F240" s="12"/>
      <c r="G240" s="12"/>
      <c r="H240" s="12"/>
      <c r="I240" s="12"/>
    </row>
    <row r="241" ht="21.75" customHeight="1">
      <c r="A241" s="16">
        <f t="shared" si="1"/>
        <v>235</v>
      </c>
      <c r="B241" s="12"/>
      <c r="C241" s="12"/>
      <c r="D241" s="12"/>
      <c r="E241" s="12"/>
      <c r="F241" s="12"/>
      <c r="G241" s="12"/>
      <c r="H241" s="12"/>
      <c r="I241" s="12"/>
    </row>
    <row r="242" ht="21.75" customHeight="1">
      <c r="A242" s="16">
        <f t="shared" si="1"/>
        <v>236</v>
      </c>
      <c r="B242" s="12"/>
      <c r="C242" s="12"/>
      <c r="D242" s="12"/>
      <c r="E242" s="12"/>
      <c r="F242" s="12"/>
      <c r="G242" s="12"/>
      <c r="H242" s="12"/>
      <c r="I242" s="12"/>
    </row>
    <row r="243" ht="21.75" customHeight="1">
      <c r="A243" s="16">
        <f t="shared" si="1"/>
        <v>237</v>
      </c>
      <c r="B243" s="12"/>
      <c r="C243" s="12"/>
      <c r="D243" s="12"/>
      <c r="E243" s="12"/>
      <c r="F243" s="12"/>
      <c r="G243" s="12"/>
      <c r="H243" s="12"/>
      <c r="I243" s="12"/>
    </row>
    <row r="244" ht="21.75" customHeight="1">
      <c r="A244" s="16">
        <f t="shared" si="1"/>
        <v>238</v>
      </c>
      <c r="B244" s="12"/>
      <c r="C244" s="12"/>
      <c r="D244" s="12"/>
      <c r="E244" s="12"/>
      <c r="F244" s="12"/>
      <c r="G244" s="12"/>
      <c r="H244" s="12"/>
      <c r="I244" s="12"/>
    </row>
    <row r="245" ht="21.75" customHeight="1">
      <c r="A245" s="16">
        <f t="shared" si="1"/>
        <v>239</v>
      </c>
      <c r="B245" s="12"/>
      <c r="C245" s="12"/>
      <c r="D245" s="12"/>
      <c r="E245" s="12"/>
      <c r="F245" s="12"/>
      <c r="G245" s="12"/>
      <c r="H245" s="12"/>
      <c r="I245" s="12"/>
    </row>
    <row r="246" ht="21.75" customHeight="1">
      <c r="A246" s="16">
        <f t="shared" si="1"/>
        <v>240</v>
      </c>
      <c r="B246" s="12"/>
      <c r="C246" s="12"/>
      <c r="D246" s="12"/>
      <c r="E246" s="12"/>
      <c r="F246" s="12"/>
      <c r="G246" s="12"/>
      <c r="H246" s="12"/>
      <c r="I246" s="12"/>
    </row>
    <row r="247" ht="21.75" customHeight="1">
      <c r="A247" s="16">
        <f t="shared" si="1"/>
        <v>241</v>
      </c>
      <c r="B247" s="12"/>
      <c r="C247" s="12"/>
      <c r="D247" s="12"/>
      <c r="E247" s="12"/>
      <c r="F247" s="12"/>
      <c r="G247" s="12"/>
      <c r="H247" s="12"/>
      <c r="I247" s="12"/>
    </row>
    <row r="248" ht="21.75" customHeight="1">
      <c r="A248" s="16">
        <f t="shared" si="1"/>
        <v>242</v>
      </c>
      <c r="B248" s="12"/>
      <c r="C248" s="12"/>
      <c r="D248" s="12"/>
      <c r="E248" s="12"/>
      <c r="F248" s="12"/>
      <c r="G248" s="12"/>
      <c r="H248" s="12"/>
      <c r="I248" s="12"/>
    </row>
    <row r="249" ht="21.75" customHeight="1">
      <c r="A249" s="16">
        <f t="shared" si="1"/>
        <v>243</v>
      </c>
      <c r="B249" s="12"/>
      <c r="C249" s="12"/>
      <c r="D249" s="12"/>
      <c r="E249" s="12"/>
      <c r="F249" s="12"/>
      <c r="G249" s="12"/>
      <c r="H249" s="12"/>
      <c r="I249" s="12"/>
    </row>
    <row r="250" ht="21.75" customHeight="1">
      <c r="A250" s="16">
        <f t="shared" si="1"/>
        <v>244</v>
      </c>
      <c r="B250" s="12"/>
      <c r="C250" s="12"/>
      <c r="D250" s="12"/>
      <c r="E250" s="12"/>
      <c r="F250" s="12"/>
      <c r="G250" s="12"/>
      <c r="H250" s="12"/>
      <c r="I250" s="12"/>
    </row>
    <row r="251" ht="21.75" customHeight="1">
      <c r="A251" s="16">
        <f t="shared" si="1"/>
        <v>245</v>
      </c>
      <c r="B251" s="12"/>
      <c r="C251" s="12"/>
      <c r="D251" s="12"/>
      <c r="E251" s="12"/>
      <c r="F251" s="12"/>
      <c r="G251" s="12"/>
      <c r="H251" s="12"/>
      <c r="I251" s="12"/>
    </row>
    <row r="252" ht="21.75" customHeight="1">
      <c r="A252" s="16">
        <f t="shared" si="1"/>
        <v>246</v>
      </c>
      <c r="B252" s="12"/>
      <c r="C252" s="12"/>
      <c r="D252" s="12"/>
      <c r="E252" s="12"/>
      <c r="F252" s="12"/>
      <c r="G252" s="12"/>
      <c r="H252" s="12"/>
      <c r="I252" s="12"/>
    </row>
    <row r="253" ht="21.75" customHeight="1">
      <c r="A253" s="16">
        <f t="shared" si="1"/>
        <v>247</v>
      </c>
      <c r="B253" s="12"/>
      <c r="C253" s="12"/>
      <c r="D253" s="12"/>
      <c r="E253" s="12"/>
      <c r="F253" s="12"/>
      <c r="G253" s="12"/>
      <c r="H253" s="12"/>
      <c r="I253" s="12"/>
    </row>
    <row r="254" ht="21.75" customHeight="1">
      <c r="A254" s="16">
        <f t="shared" si="1"/>
        <v>248</v>
      </c>
      <c r="B254" s="12"/>
      <c r="C254" s="12"/>
      <c r="D254" s="12"/>
      <c r="E254" s="12"/>
      <c r="F254" s="12"/>
      <c r="G254" s="12"/>
      <c r="H254" s="12"/>
      <c r="I254" s="12"/>
    </row>
    <row r="255" ht="21.75" customHeight="1">
      <c r="A255" s="16">
        <f t="shared" si="1"/>
        <v>249</v>
      </c>
      <c r="B255" s="12"/>
      <c r="C255" s="12"/>
      <c r="D255" s="12"/>
      <c r="E255" s="12"/>
      <c r="F255" s="12"/>
      <c r="G255" s="12"/>
      <c r="H255" s="12"/>
      <c r="I255" s="12"/>
    </row>
    <row r="256" ht="21.75" customHeight="1">
      <c r="A256" s="16">
        <f t="shared" si="1"/>
        <v>250</v>
      </c>
      <c r="B256" s="12"/>
      <c r="C256" s="12"/>
      <c r="D256" s="12"/>
      <c r="E256" s="12"/>
      <c r="F256" s="12"/>
      <c r="G256" s="12"/>
      <c r="H256" s="12"/>
      <c r="I256" s="12"/>
    </row>
    <row r="257" ht="21.75" customHeight="1">
      <c r="A257" s="16">
        <f t="shared" si="1"/>
        <v>251</v>
      </c>
      <c r="B257" s="12"/>
      <c r="C257" s="12"/>
      <c r="D257" s="12"/>
      <c r="E257" s="12"/>
      <c r="F257" s="12"/>
      <c r="G257" s="12"/>
      <c r="H257" s="12"/>
      <c r="I257" s="12"/>
    </row>
    <row r="258" ht="21.75" customHeight="1">
      <c r="A258" s="16">
        <f t="shared" si="1"/>
        <v>252</v>
      </c>
      <c r="B258" s="12"/>
      <c r="C258" s="12"/>
      <c r="D258" s="12"/>
      <c r="E258" s="12"/>
      <c r="F258" s="12"/>
      <c r="G258" s="12"/>
      <c r="H258" s="12"/>
      <c r="I258" s="12"/>
    </row>
    <row r="259" ht="21.75" customHeight="1">
      <c r="A259" s="16">
        <f t="shared" si="1"/>
        <v>253</v>
      </c>
      <c r="B259" s="12"/>
      <c r="C259" s="12"/>
      <c r="D259" s="12"/>
      <c r="E259" s="12"/>
      <c r="F259" s="12"/>
      <c r="G259" s="12"/>
      <c r="H259" s="12"/>
      <c r="I259" s="12"/>
    </row>
    <row r="260" ht="21.75" customHeight="1">
      <c r="A260" s="16">
        <f t="shared" si="1"/>
        <v>254</v>
      </c>
      <c r="B260" s="12"/>
      <c r="C260" s="12"/>
      <c r="D260" s="12"/>
      <c r="E260" s="12"/>
      <c r="F260" s="12"/>
      <c r="G260" s="12"/>
      <c r="H260" s="12"/>
      <c r="I260" s="12"/>
    </row>
    <row r="261" ht="21.75" customHeight="1">
      <c r="A261" s="16">
        <f t="shared" si="1"/>
        <v>255</v>
      </c>
      <c r="B261" s="12"/>
      <c r="C261" s="12"/>
      <c r="D261" s="12"/>
      <c r="E261" s="12"/>
      <c r="F261" s="12"/>
      <c r="G261" s="12"/>
      <c r="H261" s="12"/>
      <c r="I261" s="12"/>
    </row>
    <row r="262" ht="21.75" customHeight="1">
      <c r="A262" s="16">
        <f t="shared" si="1"/>
        <v>256</v>
      </c>
      <c r="B262" s="12"/>
      <c r="C262" s="12"/>
      <c r="D262" s="12"/>
      <c r="E262" s="12"/>
      <c r="F262" s="12"/>
      <c r="G262" s="12"/>
      <c r="H262" s="12"/>
      <c r="I262" s="12"/>
    </row>
    <row r="263" ht="21.75" customHeight="1">
      <c r="A263" s="16">
        <f t="shared" si="1"/>
        <v>257</v>
      </c>
      <c r="B263" s="12"/>
      <c r="C263" s="12"/>
      <c r="D263" s="12"/>
      <c r="E263" s="12"/>
      <c r="F263" s="12"/>
      <c r="G263" s="12"/>
      <c r="H263" s="12"/>
      <c r="I263" s="12"/>
    </row>
    <row r="264" ht="21.75" customHeight="1">
      <c r="A264" s="16">
        <f t="shared" si="1"/>
        <v>258</v>
      </c>
      <c r="B264" s="12"/>
      <c r="C264" s="12"/>
      <c r="D264" s="12"/>
      <c r="E264" s="12"/>
      <c r="F264" s="12"/>
      <c r="G264" s="12"/>
      <c r="H264" s="12"/>
      <c r="I264" s="12"/>
    </row>
    <row r="265" ht="21.75" customHeight="1">
      <c r="A265" s="16">
        <f t="shared" si="1"/>
        <v>259</v>
      </c>
      <c r="B265" s="12"/>
      <c r="C265" s="12"/>
      <c r="D265" s="12"/>
      <c r="E265" s="12"/>
      <c r="F265" s="12"/>
      <c r="G265" s="12"/>
      <c r="H265" s="12"/>
      <c r="I265" s="12"/>
    </row>
    <row r="266" ht="21.75" customHeight="1">
      <c r="A266" s="16">
        <f t="shared" si="1"/>
        <v>260</v>
      </c>
      <c r="B266" s="12"/>
      <c r="C266" s="12"/>
      <c r="D266" s="12"/>
      <c r="E266" s="12"/>
      <c r="F266" s="12"/>
      <c r="G266" s="12"/>
      <c r="H266" s="12"/>
      <c r="I266" s="12"/>
    </row>
    <row r="267" ht="21.75" customHeight="1">
      <c r="A267" s="16">
        <f t="shared" si="1"/>
        <v>261</v>
      </c>
      <c r="B267" s="12"/>
      <c r="C267" s="12"/>
      <c r="D267" s="12"/>
      <c r="E267" s="12"/>
      <c r="F267" s="12"/>
      <c r="G267" s="12"/>
      <c r="H267" s="12"/>
      <c r="I267" s="12"/>
    </row>
    <row r="268" ht="21.75" customHeight="1">
      <c r="A268" s="16">
        <f t="shared" si="1"/>
        <v>262</v>
      </c>
      <c r="B268" s="12"/>
      <c r="C268" s="12"/>
      <c r="D268" s="12"/>
      <c r="E268" s="12"/>
      <c r="F268" s="12"/>
      <c r="G268" s="12"/>
      <c r="H268" s="12"/>
      <c r="I268" s="12"/>
    </row>
    <row r="269" ht="21.75" customHeight="1">
      <c r="A269" s="16">
        <f t="shared" si="1"/>
        <v>263</v>
      </c>
      <c r="B269" s="12"/>
      <c r="C269" s="12"/>
      <c r="D269" s="12"/>
      <c r="E269" s="12"/>
      <c r="F269" s="12"/>
      <c r="G269" s="12"/>
      <c r="H269" s="12"/>
      <c r="I269" s="12"/>
    </row>
    <row r="270" ht="21.75" customHeight="1">
      <c r="A270" s="16">
        <f t="shared" si="1"/>
        <v>264</v>
      </c>
      <c r="B270" s="12"/>
      <c r="C270" s="12"/>
      <c r="D270" s="12"/>
      <c r="E270" s="12"/>
      <c r="F270" s="12"/>
      <c r="G270" s="12"/>
      <c r="H270" s="12"/>
      <c r="I270" s="12"/>
    </row>
    <row r="271" ht="21.75" customHeight="1">
      <c r="A271" s="16">
        <f t="shared" si="1"/>
        <v>265</v>
      </c>
      <c r="B271" s="12"/>
      <c r="C271" s="12"/>
      <c r="D271" s="12"/>
      <c r="E271" s="12"/>
      <c r="F271" s="12"/>
      <c r="G271" s="12"/>
      <c r="H271" s="12"/>
      <c r="I271" s="12"/>
    </row>
    <row r="272" ht="21.75" customHeight="1">
      <c r="A272" s="16">
        <f t="shared" si="1"/>
        <v>266</v>
      </c>
      <c r="B272" s="12"/>
      <c r="C272" s="12"/>
      <c r="D272" s="12"/>
      <c r="E272" s="12"/>
      <c r="F272" s="12"/>
      <c r="G272" s="12"/>
      <c r="H272" s="12"/>
      <c r="I272" s="12"/>
    </row>
    <row r="273" ht="21.75" customHeight="1">
      <c r="A273" s="16">
        <f t="shared" si="1"/>
        <v>267</v>
      </c>
      <c r="B273" s="12"/>
      <c r="C273" s="12"/>
      <c r="D273" s="12"/>
      <c r="E273" s="12"/>
      <c r="F273" s="12"/>
      <c r="G273" s="12"/>
      <c r="H273" s="12"/>
      <c r="I273" s="12"/>
    </row>
    <row r="274" ht="21.75" customHeight="1">
      <c r="A274" s="16">
        <f t="shared" si="1"/>
        <v>268</v>
      </c>
      <c r="B274" s="12"/>
      <c r="C274" s="12"/>
      <c r="D274" s="12"/>
      <c r="E274" s="12"/>
      <c r="F274" s="12"/>
      <c r="G274" s="12"/>
      <c r="H274" s="12"/>
      <c r="I274" s="12"/>
    </row>
    <row r="275" ht="21.75" customHeight="1">
      <c r="A275" s="16">
        <f t="shared" si="1"/>
        <v>269</v>
      </c>
      <c r="B275" s="12"/>
      <c r="C275" s="12"/>
      <c r="D275" s="12"/>
      <c r="E275" s="12"/>
      <c r="F275" s="12"/>
      <c r="G275" s="12"/>
      <c r="H275" s="12"/>
      <c r="I275" s="12"/>
    </row>
    <row r="276" ht="21.75" customHeight="1">
      <c r="A276" s="16">
        <f t="shared" si="1"/>
        <v>270</v>
      </c>
      <c r="B276" s="12"/>
      <c r="C276" s="12"/>
      <c r="D276" s="12"/>
      <c r="E276" s="12"/>
      <c r="F276" s="12"/>
      <c r="G276" s="12"/>
      <c r="H276" s="12"/>
      <c r="I276" s="12"/>
    </row>
    <row r="277" ht="21.75" customHeight="1">
      <c r="A277" s="16">
        <f t="shared" si="1"/>
        <v>271</v>
      </c>
      <c r="B277" s="12"/>
      <c r="C277" s="12"/>
      <c r="D277" s="12"/>
      <c r="E277" s="12"/>
      <c r="F277" s="12"/>
      <c r="G277" s="12"/>
      <c r="H277" s="12"/>
      <c r="I277" s="12"/>
    </row>
    <row r="278" ht="21.75" customHeight="1">
      <c r="A278" s="16">
        <f t="shared" si="1"/>
        <v>272</v>
      </c>
      <c r="B278" s="12"/>
      <c r="C278" s="12"/>
      <c r="D278" s="12"/>
      <c r="E278" s="12"/>
      <c r="F278" s="12"/>
      <c r="G278" s="12"/>
      <c r="H278" s="12"/>
      <c r="I278" s="12"/>
    </row>
    <row r="279" ht="21.75" customHeight="1">
      <c r="A279" s="16">
        <f t="shared" si="1"/>
        <v>273</v>
      </c>
      <c r="B279" s="12"/>
      <c r="C279" s="12"/>
      <c r="D279" s="12"/>
      <c r="E279" s="12"/>
      <c r="F279" s="12"/>
      <c r="G279" s="12"/>
      <c r="H279" s="12"/>
      <c r="I279" s="12"/>
    </row>
    <row r="280" ht="21.75" customHeight="1">
      <c r="A280" s="16">
        <f t="shared" si="1"/>
        <v>274</v>
      </c>
      <c r="B280" s="12"/>
      <c r="C280" s="12"/>
      <c r="D280" s="12"/>
      <c r="E280" s="12"/>
      <c r="F280" s="12"/>
      <c r="G280" s="12"/>
      <c r="H280" s="12"/>
      <c r="I280" s="12"/>
    </row>
    <row r="281" ht="21.75" customHeight="1">
      <c r="A281" s="16">
        <f t="shared" si="1"/>
        <v>275</v>
      </c>
      <c r="B281" s="12"/>
      <c r="C281" s="12"/>
      <c r="D281" s="12"/>
      <c r="E281" s="12"/>
      <c r="F281" s="12"/>
      <c r="G281" s="12"/>
      <c r="H281" s="12"/>
      <c r="I281" s="12"/>
    </row>
    <row r="282" ht="21.75" customHeight="1">
      <c r="A282" s="16">
        <f t="shared" si="1"/>
        <v>276</v>
      </c>
      <c r="B282" s="12"/>
      <c r="C282" s="12"/>
      <c r="D282" s="12"/>
      <c r="E282" s="12"/>
      <c r="F282" s="12"/>
      <c r="G282" s="12"/>
      <c r="H282" s="12"/>
      <c r="I282" s="12"/>
    </row>
    <row r="283" ht="21.75" customHeight="1">
      <c r="A283" s="16">
        <f t="shared" si="1"/>
        <v>277</v>
      </c>
      <c r="B283" s="12"/>
      <c r="C283" s="12"/>
      <c r="D283" s="12"/>
      <c r="E283" s="12"/>
      <c r="F283" s="12"/>
      <c r="G283" s="12"/>
      <c r="H283" s="12"/>
      <c r="I283" s="12"/>
    </row>
    <row r="284" ht="21.75" customHeight="1">
      <c r="A284" s="16">
        <f t="shared" si="1"/>
        <v>278</v>
      </c>
      <c r="B284" s="12"/>
      <c r="C284" s="12"/>
      <c r="D284" s="12"/>
      <c r="E284" s="12"/>
      <c r="F284" s="12"/>
      <c r="G284" s="12"/>
      <c r="H284" s="12"/>
      <c r="I284" s="12"/>
    </row>
    <row r="285" ht="21.75" customHeight="1">
      <c r="A285" s="16">
        <f t="shared" si="1"/>
        <v>279</v>
      </c>
      <c r="B285" s="12"/>
      <c r="C285" s="12"/>
      <c r="D285" s="12"/>
      <c r="E285" s="12"/>
      <c r="F285" s="12"/>
      <c r="G285" s="12"/>
      <c r="H285" s="12"/>
      <c r="I285" s="12"/>
    </row>
    <row r="286" ht="21.75" customHeight="1">
      <c r="A286" s="16">
        <f t="shared" si="1"/>
        <v>280</v>
      </c>
      <c r="B286" s="12"/>
      <c r="C286" s="12"/>
      <c r="D286" s="12"/>
      <c r="E286" s="12"/>
      <c r="F286" s="12"/>
      <c r="G286" s="12"/>
      <c r="H286" s="12"/>
      <c r="I286" s="12"/>
    </row>
    <row r="287" ht="21.75" customHeight="1">
      <c r="A287" s="16">
        <f t="shared" si="1"/>
        <v>281</v>
      </c>
      <c r="B287" s="12"/>
      <c r="C287" s="12"/>
      <c r="D287" s="12"/>
      <c r="E287" s="12"/>
      <c r="F287" s="12"/>
      <c r="G287" s="12"/>
      <c r="H287" s="12"/>
      <c r="I287" s="12"/>
    </row>
    <row r="288" ht="21.75" customHeight="1">
      <c r="A288" s="16">
        <f t="shared" si="1"/>
        <v>282</v>
      </c>
      <c r="B288" s="12"/>
      <c r="C288" s="12"/>
      <c r="D288" s="12"/>
      <c r="E288" s="12"/>
      <c r="F288" s="12"/>
      <c r="G288" s="12"/>
      <c r="H288" s="12"/>
      <c r="I288" s="12"/>
    </row>
    <row r="289" ht="21.75" customHeight="1">
      <c r="A289" s="16">
        <f t="shared" si="1"/>
        <v>283</v>
      </c>
      <c r="B289" s="12"/>
      <c r="C289" s="12"/>
      <c r="D289" s="12"/>
      <c r="E289" s="12"/>
      <c r="F289" s="12"/>
      <c r="G289" s="12"/>
      <c r="H289" s="12"/>
      <c r="I289" s="12"/>
    </row>
    <row r="290" ht="21.75" customHeight="1">
      <c r="A290" s="16">
        <f t="shared" si="1"/>
        <v>284</v>
      </c>
      <c r="B290" s="12"/>
      <c r="C290" s="12"/>
      <c r="D290" s="12"/>
      <c r="E290" s="12"/>
      <c r="F290" s="12"/>
      <c r="G290" s="12"/>
      <c r="H290" s="12"/>
      <c r="I290" s="12"/>
    </row>
    <row r="291" ht="21.75" customHeight="1">
      <c r="A291" s="16">
        <f t="shared" si="1"/>
        <v>285</v>
      </c>
      <c r="B291" s="12"/>
      <c r="C291" s="12"/>
      <c r="D291" s="12"/>
      <c r="E291" s="12"/>
      <c r="F291" s="12"/>
      <c r="G291" s="12"/>
      <c r="H291" s="12"/>
      <c r="I291" s="12"/>
    </row>
    <row r="292" ht="21.75" customHeight="1">
      <c r="A292" s="16">
        <f t="shared" si="1"/>
        <v>286</v>
      </c>
      <c r="B292" s="12"/>
      <c r="C292" s="12"/>
      <c r="D292" s="12"/>
      <c r="E292" s="12"/>
      <c r="F292" s="12"/>
      <c r="G292" s="12"/>
      <c r="H292" s="12"/>
      <c r="I292" s="12"/>
    </row>
    <row r="293" ht="21.75" customHeight="1">
      <c r="A293" s="16">
        <f t="shared" si="1"/>
        <v>287</v>
      </c>
      <c r="B293" s="12"/>
      <c r="C293" s="12"/>
      <c r="D293" s="12"/>
      <c r="E293" s="12"/>
      <c r="F293" s="12"/>
      <c r="G293" s="12"/>
      <c r="H293" s="12"/>
      <c r="I293" s="12"/>
    </row>
    <row r="294" ht="21.75" customHeight="1">
      <c r="A294" s="16">
        <f t="shared" si="1"/>
        <v>288</v>
      </c>
      <c r="B294" s="12"/>
      <c r="C294" s="12"/>
      <c r="D294" s="12"/>
      <c r="E294" s="12"/>
      <c r="F294" s="12"/>
      <c r="G294" s="12"/>
      <c r="H294" s="12"/>
      <c r="I294" s="12"/>
    </row>
    <row r="295" ht="21.75" customHeight="1">
      <c r="A295" s="16">
        <f t="shared" si="1"/>
        <v>289</v>
      </c>
      <c r="B295" s="12"/>
      <c r="C295" s="12"/>
      <c r="D295" s="12"/>
      <c r="E295" s="12"/>
      <c r="F295" s="12"/>
      <c r="G295" s="12"/>
      <c r="H295" s="12"/>
      <c r="I295" s="12"/>
    </row>
    <row r="296" ht="21.75" customHeight="1">
      <c r="A296" s="16">
        <f t="shared" si="1"/>
        <v>290</v>
      </c>
      <c r="B296" s="12"/>
      <c r="C296" s="12"/>
      <c r="D296" s="12"/>
      <c r="E296" s="12"/>
      <c r="F296" s="12"/>
      <c r="G296" s="12"/>
      <c r="H296" s="12"/>
      <c r="I296" s="12"/>
    </row>
    <row r="297" ht="21.75" customHeight="1">
      <c r="A297" s="16">
        <f t="shared" si="1"/>
        <v>291</v>
      </c>
      <c r="B297" s="12"/>
      <c r="C297" s="12"/>
      <c r="D297" s="12"/>
      <c r="E297" s="12"/>
      <c r="F297" s="12"/>
      <c r="G297" s="12"/>
      <c r="H297" s="12"/>
      <c r="I297" s="12"/>
    </row>
    <row r="298" ht="21.75" customHeight="1">
      <c r="A298" s="16">
        <f t="shared" si="1"/>
        <v>292</v>
      </c>
      <c r="B298" s="12"/>
      <c r="C298" s="12"/>
      <c r="D298" s="12"/>
      <c r="E298" s="12"/>
      <c r="F298" s="12"/>
      <c r="G298" s="12"/>
      <c r="H298" s="12"/>
      <c r="I298" s="12"/>
    </row>
    <row r="299" ht="21.75" customHeight="1">
      <c r="A299" s="16">
        <f t="shared" si="1"/>
        <v>293</v>
      </c>
      <c r="B299" s="12"/>
      <c r="C299" s="12"/>
      <c r="D299" s="12"/>
      <c r="E299" s="12"/>
      <c r="F299" s="12"/>
      <c r="G299" s="12"/>
      <c r="H299" s="12"/>
      <c r="I299" s="12"/>
    </row>
    <row r="300" ht="21.75" customHeight="1">
      <c r="A300" s="16">
        <f t="shared" si="1"/>
        <v>294</v>
      </c>
      <c r="B300" s="12"/>
      <c r="C300" s="12"/>
      <c r="D300" s="12"/>
      <c r="E300" s="12"/>
      <c r="F300" s="12"/>
      <c r="G300" s="12"/>
      <c r="H300" s="12"/>
      <c r="I300" s="12"/>
    </row>
    <row r="301" ht="21.75" customHeight="1">
      <c r="A301" s="16">
        <f t="shared" si="1"/>
        <v>295</v>
      </c>
      <c r="B301" s="12"/>
      <c r="C301" s="12"/>
      <c r="D301" s="12"/>
      <c r="E301" s="12"/>
      <c r="F301" s="12"/>
      <c r="G301" s="12"/>
      <c r="H301" s="12"/>
      <c r="I301" s="12"/>
    </row>
    <row r="302" ht="21.75" customHeight="1">
      <c r="A302" s="16">
        <f t="shared" si="1"/>
        <v>296</v>
      </c>
      <c r="B302" s="12"/>
      <c r="C302" s="12"/>
      <c r="D302" s="12"/>
      <c r="E302" s="12"/>
      <c r="F302" s="12"/>
      <c r="G302" s="12"/>
      <c r="H302" s="12"/>
      <c r="I302" s="12"/>
    </row>
    <row r="303" ht="21.75" customHeight="1">
      <c r="A303" s="16">
        <f t="shared" si="1"/>
        <v>297</v>
      </c>
      <c r="B303" s="12"/>
      <c r="C303" s="12"/>
      <c r="D303" s="12"/>
      <c r="E303" s="12"/>
      <c r="F303" s="12"/>
      <c r="G303" s="12"/>
      <c r="H303" s="12"/>
      <c r="I303" s="12"/>
    </row>
    <row r="304" ht="21.75" customHeight="1">
      <c r="A304" s="16">
        <f t="shared" si="1"/>
        <v>298</v>
      </c>
      <c r="B304" s="12"/>
      <c r="C304" s="12"/>
      <c r="D304" s="12"/>
      <c r="E304" s="12"/>
      <c r="F304" s="12"/>
      <c r="G304" s="12"/>
      <c r="H304" s="12"/>
      <c r="I304" s="12"/>
    </row>
    <row r="305" ht="21.75" customHeight="1">
      <c r="A305" s="16">
        <f t="shared" si="1"/>
        <v>299</v>
      </c>
      <c r="B305" s="12"/>
      <c r="C305" s="12"/>
      <c r="D305" s="12"/>
      <c r="E305" s="12"/>
      <c r="F305" s="12"/>
      <c r="G305" s="12"/>
      <c r="H305" s="12"/>
      <c r="I305" s="12"/>
    </row>
    <row r="306" ht="21.75" customHeight="1">
      <c r="A306" s="16">
        <f t="shared" si="1"/>
        <v>300</v>
      </c>
      <c r="B306" s="12"/>
      <c r="C306" s="12"/>
      <c r="D306" s="12"/>
      <c r="E306" s="12"/>
      <c r="F306" s="12"/>
      <c r="G306" s="12"/>
      <c r="H306" s="12"/>
      <c r="I306" s="12"/>
    </row>
    <row r="307" ht="21.75" customHeight="1">
      <c r="A307" s="16">
        <f t="shared" si="1"/>
        <v>301</v>
      </c>
      <c r="B307" s="12"/>
      <c r="C307" s="12"/>
      <c r="D307" s="12"/>
      <c r="E307" s="12"/>
      <c r="F307" s="12"/>
      <c r="G307" s="12"/>
      <c r="H307" s="12"/>
      <c r="I307" s="12"/>
    </row>
    <row r="308" ht="21.75" customHeight="1">
      <c r="A308" s="16">
        <f t="shared" si="1"/>
        <v>302</v>
      </c>
      <c r="B308" s="12"/>
      <c r="C308" s="12"/>
      <c r="D308" s="12"/>
      <c r="E308" s="12"/>
      <c r="F308" s="12"/>
      <c r="G308" s="12"/>
      <c r="H308" s="12"/>
      <c r="I308" s="12"/>
    </row>
    <row r="309" ht="21.75" customHeight="1">
      <c r="A309" s="16">
        <f t="shared" si="1"/>
        <v>303</v>
      </c>
      <c r="B309" s="12"/>
      <c r="C309" s="12"/>
      <c r="D309" s="12"/>
      <c r="E309" s="12"/>
      <c r="F309" s="12"/>
      <c r="G309" s="12"/>
      <c r="H309" s="12"/>
      <c r="I309" s="12"/>
    </row>
    <row r="310" ht="21.75" customHeight="1">
      <c r="A310" s="16">
        <f t="shared" si="1"/>
        <v>304</v>
      </c>
      <c r="B310" s="12"/>
      <c r="C310" s="12"/>
      <c r="D310" s="12"/>
      <c r="E310" s="12"/>
      <c r="F310" s="12"/>
      <c r="G310" s="12"/>
      <c r="H310" s="12"/>
      <c r="I310" s="12"/>
    </row>
    <row r="311" ht="21.75" customHeight="1">
      <c r="A311" s="16">
        <f t="shared" si="1"/>
        <v>305</v>
      </c>
      <c r="B311" s="12"/>
      <c r="C311" s="12"/>
      <c r="D311" s="12"/>
      <c r="E311" s="12"/>
      <c r="F311" s="12"/>
      <c r="G311" s="12"/>
      <c r="H311" s="12"/>
      <c r="I311" s="12"/>
    </row>
    <row r="312" ht="21.75" customHeight="1">
      <c r="A312" s="16">
        <f t="shared" si="1"/>
        <v>306</v>
      </c>
      <c r="B312" s="12"/>
      <c r="C312" s="12"/>
      <c r="D312" s="12"/>
      <c r="E312" s="12"/>
      <c r="F312" s="12"/>
      <c r="G312" s="12"/>
      <c r="H312" s="12"/>
      <c r="I312" s="12"/>
    </row>
    <row r="313" ht="21.75" customHeight="1">
      <c r="A313" s="16">
        <f t="shared" si="1"/>
        <v>307</v>
      </c>
      <c r="B313" s="12"/>
      <c r="C313" s="12"/>
      <c r="D313" s="12"/>
      <c r="E313" s="12"/>
      <c r="F313" s="12"/>
      <c r="G313" s="12"/>
      <c r="H313" s="12"/>
      <c r="I313" s="12"/>
    </row>
    <row r="314" ht="21.75" customHeight="1">
      <c r="A314" s="16">
        <f t="shared" si="1"/>
        <v>308</v>
      </c>
      <c r="B314" s="12"/>
      <c r="C314" s="12"/>
      <c r="D314" s="12"/>
      <c r="E314" s="12"/>
      <c r="F314" s="12"/>
      <c r="G314" s="12"/>
      <c r="H314" s="12"/>
      <c r="I314" s="12"/>
    </row>
    <row r="315" ht="21.75" customHeight="1">
      <c r="A315" s="16">
        <f t="shared" si="1"/>
        <v>309</v>
      </c>
      <c r="B315" s="12"/>
      <c r="C315" s="12"/>
      <c r="D315" s="12"/>
      <c r="E315" s="12"/>
      <c r="F315" s="12"/>
      <c r="G315" s="12"/>
      <c r="H315" s="12"/>
      <c r="I315" s="12"/>
    </row>
    <row r="316" ht="21.75" customHeight="1">
      <c r="A316" s="16">
        <f t="shared" si="1"/>
        <v>310</v>
      </c>
      <c r="B316" s="12"/>
      <c r="C316" s="12"/>
      <c r="D316" s="12"/>
      <c r="E316" s="12"/>
      <c r="F316" s="12"/>
      <c r="G316" s="12"/>
      <c r="H316" s="12"/>
      <c r="I316" s="12"/>
    </row>
    <row r="317" ht="21.75" customHeight="1">
      <c r="A317" s="16">
        <f t="shared" si="1"/>
        <v>311</v>
      </c>
      <c r="B317" s="12"/>
      <c r="C317" s="12"/>
      <c r="D317" s="12"/>
      <c r="E317" s="12"/>
      <c r="F317" s="12"/>
      <c r="G317" s="12"/>
      <c r="H317" s="12"/>
      <c r="I317" s="12"/>
    </row>
    <row r="318" ht="21.75" customHeight="1">
      <c r="A318" s="16">
        <f t="shared" si="1"/>
        <v>312</v>
      </c>
      <c r="B318" s="12"/>
      <c r="C318" s="12"/>
      <c r="D318" s="12"/>
      <c r="E318" s="12"/>
      <c r="F318" s="12"/>
      <c r="G318" s="12"/>
      <c r="H318" s="12"/>
      <c r="I318" s="12"/>
    </row>
    <row r="319" ht="21.75" customHeight="1">
      <c r="A319" s="16">
        <f t="shared" si="1"/>
        <v>313</v>
      </c>
      <c r="B319" s="12"/>
      <c r="C319" s="12"/>
      <c r="D319" s="12"/>
      <c r="E319" s="12"/>
      <c r="F319" s="12"/>
      <c r="G319" s="12"/>
      <c r="H319" s="12"/>
      <c r="I319" s="12"/>
    </row>
    <row r="320" ht="21.75" customHeight="1">
      <c r="A320" s="16">
        <f t="shared" si="1"/>
        <v>314</v>
      </c>
      <c r="B320" s="12"/>
      <c r="C320" s="12"/>
      <c r="D320" s="12"/>
      <c r="E320" s="12"/>
      <c r="F320" s="12"/>
      <c r="G320" s="12"/>
      <c r="H320" s="12"/>
      <c r="I320" s="12"/>
    </row>
    <row r="321" ht="21.75" customHeight="1">
      <c r="A321" s="16">
        <f t="shared" si="1"/>
        <v>315</v>
      </c>
      <c r="B321" s="12"/>
      <c r="C321" s="12"/>
      <c r="D321" s="12"/>
      <c r="E321" s="12"/>
      <c r="F321" s="12"/>
      <c r="G321" s="12"/>
      <c r="H321" s="12"/>
      <c r="I321" s="12"/>
    </row>
    <row r="322" ht="21.75" customHeight="1">
      <c r="A322" s="16">
        <f t="shared" si="1"/>
        <v>316</v>
      </c>
      <c r="B322" s="12"/>
      <c r="C322" s="12"/>
      <c r="D322" s="12"/>
      <c r="E322" s="12"/>
      <c r="F322" s="12"/>
      <c r="G322" s="12"/>
      <c r="H322" s="12"/>
      <c r="I322" s="12"/>
    </row>
    <row r="323" ht="21.75" customHeight="1">
      <c r="A323" s="16">
        <f t="shared" si="1"/>
        <v>317</v>
      </c>
      <c r="B323" s="12"/>
      <c r="C323" s="12"/>
      <c r="D323" s="12"/>
      <c r="E323" s="12"/>
      <c r="F323" s="12"/>
      <c r="G323" s="12"/>
      <c r="H323" s="12"/>
      <c r="I323" s="12"/>
    </row>
    <row r="324" ht="21.75" customHeight="1">
      <c r="A324" s="16">
        <f t="shared" si="1"/>
        <v>318</v>
      </c>
      <c r="B324" s="12"/>
      <c r="C324" s="12"/>
      <c r="D324" s="12"/>
      <c r="E324" s="12"/>
      <c r="F324" s="12"/>
      <c r="G324" s="12"/>
      <c r="H324" s="12"/>
      <c r="I324" s="12"/>
    </row>
    <row r="325" ht="21.75" customHeight="1">
      <c r="A325" s="16">
        <f t="shared" si="1"/>
        <v>319</v>
      </c>
      <c r="B325" s="12"/>
      <c r="C325" s="12"/>
      <c r="D325" s="12"/>
      <c r="E325" s="12"/>
      <c r="F325" s="12"/>
      <c r="G325" s="12"/>
      <c r="H325" s="12"/>
      <c r="I325" s="12"/>
    </row>
    <row r="326" ht="21.75" customHeight="1">
      <c r="A326" s="16">
        <f t="shared" si="1"/>
        <v>320</v>
      </c>
      <c r="B326" s="12"/>
      <c r="C326" s="12"/>
      <c r="D326" s="12"/>
      <c r="E326" s="12"/>
      <c r="F326" s="12"/>
      <c r="G326" s="12"/>
      <c r="H326" s="12"/>
      <c r="I326" s="12"/>
    </row>
    <row r="327" ht="21.75" customHeight="1">
      <c r="A327" s="16">
        <f t="shared" si="1"/>
        <v>321</v>
      </c>
      <c r="B327" s="12"/>
      <c r="C327" s="12"/>
      <c r="D327" s="12"/>
      <c r="E327" s="12"/>
      <c r="F327" s="12"/>
      <c r="G327" s="12"/>
      <c r="H327" s="12"/>
      <c r="I327" s="12"/>
    </row>
    <row r="328" ht="21.75" customHeight="1">
      <c r="A328" s="16">
        <f t="shared" si="1"/>
        <v>322</v>
      </c>
      <c r="B328" s="12"/>
      <c r="C328" s="12"/>
      <c r="D328" s="12"/>
      <c r="E328" s="12"/>
      <c r="F328" s="12"/>
      <c r="G328" s="12"/>
      <c r="H328" s="12"/>
      <c r="I328" s="12"/>
    </row>
    <row r="329" ht="21.75" customHeight="1">
      <c r="A329" s="16">
        <f t="shared" si="1"/>
        <v>323</v>
      </c>
      <c r="B329" s="12"/>
      <c r="C329" s="12"/>
      <c r="D329" s="12"/>
      <c r="E329" s="12"/>
      <c r="F329" s="12"/>
      <c r="G329" s="12"/>
      <c r="H329" s="12"/>
      <c r="I329" s="12"/>
    </row>
    <row r="330" ht="21.75" customHeight="1">
      <c r="A330" s="16">
        <f t="shared" si="1"/>
        <v>324</v>
      </c>
      <c r="B330" s="12"/>
      <c r="C330" s="12"/>
      <c r="D330" s="12"/>
      <c r="E330" s="12"/>
      <c r="F330" s="12"/>
      <c r="G330" s="12"/>
      <c r="H330" s="12"/>
      <c r="I330" s="12"/>
    </row>
    <row r="331" ht="21.75" customHeight="1">
      <c r="A331" s="16">
        <f t="shared" si="1"/>
        <v>325</v>
      </c>
      <c r="B331" s="12"/>
      <c r="C331" s="12"/>
      <c r="D331" s="12"/>
      <c r="E331" s="12"/>
      <c r="F331" s="12"/>
      <c r="G331" s="12"/>
      <c r="H331" s="12"/>
      <c r="I331" s="12"/>
    </row>
    <row r="332" ht="21.75" customHeight="1">
      <c r="A332" s="16">
        <f t="shared" si="1"/>
        <v>326</v>
      </c>
      <c r="B332" s="12"/>
      <c r="C332" s="12"/>
      <c r="D332" s="12"/>
      <c r="E332" s="12"/>
      <c r="F332" s="12"/>
      <c r="G332" s="12"/>
      <c r="H332" s="12"/>
      <c r="I332" s="12"/>
    </row>
    <row r="333" ht="21.75" customHeight="1">
      <c r="A333" s="16">
        <f t="shared" si="1"/>
        <v>327</v>
      </c>
      <c r="B333" s="12"/>
      <c r="C333" s="12"/>
      <c r="D333" s="12"/>
      <c r="E333" s="12"/>
      <c r="F333" s="12"/>
      <c r="G333" s="12"/>
      <c r="H333" s="12"/>
      <c r="I333" s="12"/>
    </row>
    <row r="334" ht="21.75" customHeight="1">
      <c r="A334" s="16">
        <f t="shared" si="1"/>
        <v>328</v>
      </c>
      <c r="B334" s="12"/>
      <c r="C334" s="12"/>
      <c r="D334" s="12"/>
      <c r="E334" s="12"/>
      <c r="F334" s="12"/>
      <c r="G334" s="12"/>
      <c r="H334" s="12"/>
      <c r="I334" s="12"/>
    </row>
    <row r="335" ht="21.75" customHeight="1">
      <c r="A335" s="16">
        <f t="shared" si="1"/>
        <v>329</v>
      </c>
      <c r="B335" s="12"/>
      <c r="C335" s="12"/>
      <c r="D335" s="12"/>
      <c r="E335" s="12"/>
      <c r="F335" s="12"/>
      <c r="G335" s="12"/>
      <c r="H335" s="12"/>
      <c r="I335" s="12"/>
    </row>
    <row r="336" ht="21.75" customHeight="1">
      <c r="A336" s="16">
        <f t="shared" si="1"/>
        <v>330</v>
      </c>
      <c r="B336" s="12"/>
      <c r="C336" s="12"/>
      <c r="D336" s="12"/>
      <c r="E336" s="12"/>
      <c r="F336" s="12"/>
      <c r="G336" s="12"/>
      <c r="H336" s="12"/>
      <c r="I336" s="12"/>
    </row>
    <row r="337" ht="21.75" customHeight="1">
      <c r="A337" s="16">
        <f t="shared" si="1"/>
        <v>331</v>
      </c>
      <c r="B337" s="12"/>
      <c r="C337" s="12"/>
      <c r="D337" s="12"/>
      <c r="E337" s="12"/>
      <c r="F337" s="12"/>
      <c r="G337" s="12"/>
      <c r="H337" s="12"/>
      <c r="I337" s="12"/>
    </row>
    <row r="338" ht="21.75" customHeight="1">
      <c r="A338" s="16">
        <f t="shared" si="1"/>
        <v>332</v>
      </c>
      <c r="B338" s="12"/>
      <c r="C338" s="12"/>
      <c r="D338" s="12"/>
      <c r="E338" s="12"/>
      <c r="F338" s="12"/>
      <c r="G338" s="12"/>
      <c r="H338" s="12"/>
      <c r="I338" s="12"/>
    </row>
    <row r="339" ht="21.75" customHeight="1">
      <c r="A339" s="16">
        <f t="shared" si="1"/>
        <v>333</v>
      </c>
      <c r="B339" s="12"/>
      <c r="C339" s="12"/>
      <c r="D339" s="12"/>
      <c r="E339" s="12"/>
      <c r="F339" s="12"/>
      <c r="G339" s="12"/>
      <c r="H339" s="12"/>
      <c r="I339" s="12"/>
    </row>
    <row r="340" ht="21.75" customHeight="1">
      <c r="A340" s="16">
        <f t="shared" si="1"/>
        <v>334</v>
      </c>
      <c r="B340" s="12"/>
      <c r="C340" s="12"/>
      <c r="D340" s="12"/>
      <c r="E340" s="12"/>
      <c r="F340" s="12"/>
      <c r="G340" s="12"/>
      <c r="H340" s="12"/>
      <c r="I340" s="12"/>
    </row>
    <row r="341" ht="21.75" customHeight="1">
      <c r="A341" s="16">
        <f t="shared" si="1"/>
        <v>335</v>
      </c>
      <c r="B341" s="12"/>
      <c r="C341" s="12"/>
      <c r="D341" s="12"/>
      <c r="E341" s="12"/>
      <c r="F341" s="12"/>
      <c r="G341" s="12"/>
      <c r="H341" s="12"/>
      <c r="I341" s="12"/>
    </row>
    <row r="342" ht="21.75" customHeight="1">
      <c r="A342" s="16">
        <f t="shared" si="1"/>
        <v>336</v>
      </c>
      <c r="B342" s="12"/>
      <c r="C342" s="12"/>
      <c r="D342" s="12"/>
      <c r="E342" s="12"/>
      <c r="F342" s="12"/>
      <c r="G342" s="12"/>
      <c r="H342" s="12"/>
      <c r="I342" s="12"/>
    </row>
    <row r="343" ht="21.75" customHeight="1">
      <c r="A343" s="16">
        <f t="shared" si="1"/>
        <v>337</v>
      </c>
      <c r="B343" s="12"/>
      <c r="C343" s="12"/>
      <c r="D343" s="12"/>
      <c r="E343" s="12"/>
      <c r="F343" s="12"/>
      <c r="G343" s="12"/>
      <c r="H343" s="12"/>
      <c r="I343" s="12"/>
    </row>
    <row r="344" ht="21.75" customHeight="1">
      <c r="A344" s="16">
        <f t="shared" si="1"/>
        <v>338</v>
      </c>
      <c r="B344" s="12"/>
      <c r="C344" s="12"/>
      <c r="D344" s="12"/>
      <c r="E344" s="12"/>
      <c r="F344" s="12"/>
      <c r="G344" s="12"/>
      <c r="H344" s="12"/>
      <c r="I344" s="12"/>
    </row>
    <row r="345" ht="21.75" customHeight="1">
      <c r="A345" s="16">
        <f t="shared" si="1"/>
        <v>339</v>
      </c>
      <c r="B345" s="12"/>
      <c r="C345" s="12"/>
      <c r="D345" s="12"/>
      <c r="E345" s="12"/>
      <c r="F345" s="12"/>
      <c r="G345" s="12"/>
      <c r="H345" s="12"/>
      <c r="I345" s="12"/>
    </row>
    <row r="346" ht="21.75" customHeight="1">
      <c r="A346" s="16">
        <f t="shared" si="1"/>
        <v>340</v>
      </c>
      <c r="B346" s="12"/>
      <c r="C346" s="12"/>
      <c r="D346" s="12"/>
      <c r="E346" s="12"/>
      <c r="F346" s="12"/>
      <c r="G346" s="12"/>
      <c r="H346" s="12"/>
      <c r="I346" s="12"/>
    </row>
    <row r="347" ht="21.75" customHeight="1">
      <c r="A347" s="16">
        <f t="shared" si="1"/>
        <v>341</v>
      </c>
      <c r="B347" s="12"/>
      <c r="C347" s="12"/>
      <c r="D347" s="12"/>
      <c r="E347" s="12"/>
      <c r="F347" s="12"/>
      <c r="G347" s="12"/>
      <c r="H347" s="12"/>
      <c r="I347" s="12"/>
    </row>
    <row r="348" ht="21.75" customHeight="1">
      <c r="A348" s="16">
        <f t="shared" si="1"/>
        <v>342</v>
      </c>
      <c r="B348" s="12"/>
      <c r="C348" s="12"/>
      <c r="D348" s="12"/>
      <c r="E348" s="12"/>
      <c r="F348" s="12"/>
      <c r="G348" s="12"/>
      <c r="H348" s="12"/>
      <c r="I348" s="12"/>
    </row>
    <row r="349" ht="21.75" customHeight="1">
      <c r="A349" s="16">
        <f t="shared" si="1"/>
        <v>343</v>
      </c>
      <c r="B349" s="12"/>
      <c r="C349" s="12"/>
      <c r="D349" s="12"/>
      <c r="E349" s="12"/>
      <c r="F349" s="12"/>
      <c r="G349" s="12"/>
      <c r="H349" s="12"/>
      <c r="I349" s="12"/>
    </row>
    <row r="350" ht="21.75" customHeight="1">
      <c r="A350" s="16">
        <f t="shared" si="1"/>
        <v>344</v>
      </c>
      <c r="B350" s="12"/>
      <c r="C350" s="12"/>
      <c r="D350" s="12"/>
      <c r="E350" s="12"/>
      <c r="F350" s="12"/>
      <c r="G350" s="12"/>
      <c r="H350" s="12"/>
      <c r="I350" s="12"/>
    </row>
    <row r="351" ht="21.75" customHeight="1">
      <c r="A351" s="16">
        <f t="shared" si="1"/>
        <v>345</v>
      </c>
      <c r="B351" s="12"/>
      <c r="C351" s="12"/>
      <c r="D351" s="12"/>
      <c r="E351" s="12"/>
      <c r="F351" s="12"/>
      <c r="G351" s="12"/>
      <c r="H351" s="12"/>
      <c r="I351" s="12"/>
    </row>
    <row r="352" ht="21.75" customHeight="1">
      <c r="A352" s="16">
        <f t="shared" si="1"/>
        <v>346</v>
      </c>
      <c r="B352" s="12"/>
      <c r="C352" s="12"/>
      <c r="D352" s="12"/>
      <c r="E352" s="12"/>
      <c r="F352" s="12"/>
      <c r="G352" s="12"/>
      <c r="H352" s="12"/>
      <c r="I352" s="12"/>
    </row>
    <row r="353" ht="21.75" customHeight="1">
      <c r="A353" s="16">
        <f t="shared" si="1"/>
        <v>347</v>
      </c>
      <c r="B353" s="12"/>
      <c r="C353" s="12"/>
      <c r="D353" s="12"/>
      <c r="E353" s="12"/>
      <c r="F353" s="12"/>
      <c r="G353" s="12"/>
      <c r="H353" s="12"/>
      <c r="I353" s="12"/>
    </row>
    <row r="354" ht="21.75" customHeight="1">
      <c r="A354" s="16">
        <f t="shared" si="1"/>
        <v>348</v>
      </c>
      <c r="B354" s="12"/>
      <c r="C354" s="12"/>
      <c r="D354" s="12"/>
      <c r="E354" s="12"/>
      <c r="F354" s="12"/>
      <c r="G354" s="12"/>
      <c r="H354" s="12"/>
      <c r="I354" s="12"/>
    </row>
    <row r="355" ht="21.75" customHeight="1">
      <c r="A355" s="16">
        <f t="shared" si="1"/>
        <v>349</v>
      </c>
      <c r="B355" s="12"/>
      <c r="C355" s="12"/>
      <c r="D355" s="12"/>
      <c r="E355" s="12"/>
      <c r="F355" s="12"/>
      <c r="G355" s="12"/>
      <c r="H355" s="12"/>
      <c r="I355" s="12"/>
    </row>
    <row r="356" ht="21.75" customHeight="1">
      <c r="A356" s="16">
        <f t="shared" si="1"/>
        <v>350</v>
      </c>
      <c r="B356" s="12"/>
      <c r="C356" s="12"/>
      <c r="D356" s="12"/>
      <c r="E356" s="12"/>
      <c r="F356" s="12"/>
      <c r="G356" s="12"/>
      <c r="H356" s="12"/>
      <c r="I356" s="12"/>
    </row>
    <row r="357" ht="21.75" customHeight="1">
      <c r="A357" s="16">
        <f t="shared" si="1"/>
        <v>351</v>
      </c>
      <c r="B357" s="12"/>
      <c r="C357" s="12"/>
      <c r="D357" s="12"/>
      <c r="E357" s="12"/>
      <c r="F357" s="12"/>
      <c r="G357" s="12"/>
      <c r="H357" s="12"/>
      <c r="I357" s="12"/>
    </row>
    <row r="358" ht="21.75" customHeight="1">
      <c r="A358" s="16">
        <f t="shared" si="1"/>
        <v>352</v>
      </c>
      <c r="B358" s="12"/>
      <c r="C358" s="12"/>
      <c r="D358" s="12"/>
      <c r="E358" s="12"/>
      <c r="F358" s="12"/>
      <c r="G358" s="12"/>
      <c r="H358" s="12"/>
      <c r="I358" s="12"/>
    </row>
    <row r="359" ht="21.75" customHeight="1">
      <c r="A359" s="16">
        <f t="shared" si="1"/>
        <v>353</v>
      </c>
      <c r="B359" s="12"/>
      <c r="C359" s="12"/>
      <c r="D359" s="12"/>
      <c r="E359" s="12"/>
      <c r="F359" s="12"/>
      <c r="G359" s="12"/>
      <c r="H359" s="12"/>
      <c r="I359" s="12"/>
    </row>
    <row r="360" ht="21.75" customHeight="1">
      <c r="A360" s="16">
        <f t="shared" si="1"/>
        <v>354</v>
      </c>
      <c r="B360" s="12"/>
      <c r="C360" s="12"/>
      <c r="D360" s="12"/>
      <c r="E360" s="12"/>
      <c r="F360" s="12"/>
      <c r="G360" s="12"/>
      <c r="H360" s="12"/>
      <c r="I360" s="12"/>
    </row>
    <row r="361" ht="21.75" customHeight="1">
      <c r="A361" s="16">
        <f t="shared" si="1"/>
        <v>355</v>
      </c>
      <c r="B361" s="12"/>
      <c r="C361" s="12"/>
      <c r="D361" s="12"/>
      <c r="E361" s="12"/>
      <c r="F361" s="12"/>
      <c r="G361" s="12"/>
      <c r="H361" s="12"/>
      <c r="I361" s="12"/>
    </row>
    <row r="362" ht="21.75" customHeight="1">
      <c r="A362" s="16">
        <f t="shared" si="1"/>
        <v>356</v>
      </c>
      <c r="B362" s="12"/>
      <c r="C362" s="12"/>
      <c r="D362" s="12"/>
      <c r="E362" s="12"/>
      <c r="F362" s="12"/>
      <c r="G362" s="12"/>
      <c r="H362" s="12"/>
      <c r="I362" s="12"/>
    </row>
    <row r="363" ht="21.75" customHeight="1">
      <c r="A363" s="16">
        <f t="shared" si="1"/>
        <v>357</v>
      </c>
      <c r="B363" s="12"/>
      <c r="C363" s="12"/>
      <c r="D363" s="12"/>
      <c r="E363" s="12"/>
      <c r="F363" s="12"/>
      <c r="G363" s="12"/>
      <c r="H363" s="12"/>
      <c r="I363" s="12"/>
    </row>
    <row r="364" ht="21.75" customHeight="1">
      <c r="A364" s="16">
        <f t="shared" si="1"/>
        <v>358</v>
      </c>
      <c r="B364" s="12"/>
      <c r="C364" s="12"/>
      <c r="D364" s="12"/>
      <c r="E364" s="12"/>
      <c r="F364" s="12"/>
      <c r="G364" s="12"/>
      <c r="H364" s="12"/>
      <c r="I364" s="12"/>
    </row>
    <row r="365" ht="21.75" customHeight="1">
      <c r="A365" s="16">
        <f t="shared" si="1"/>
        <v>359</v>
      </c>
      <c r="B365" s="12"/>
      <c r="C365" s="12"/>
      <c r="D365" s="12"/>
      <c r="E365" s="12"/>
      <c r="F365" s="12"/>
      <c r="G365" s="12"/>
      <c r="H365" s="12"/>
      <c r="I365" s="12"/>
    </row>
    <row r="366" ht="21.75" customHeight="1">
      <c r="A366" s="16">
        <f t="shared" si="1"/>
        <v>360</v>
      </c>
      <c r="B366" s="12"/>
      <c r="C366" s="12"/>
      <c r="D366" s="12"/>
      <c r="E366" s="12"/>
      <c r="F366" s="12"/>
      <c r="G366" s="12"/>
      <c r="H366" s="12"/>
      <c r="I366" s="12"/>
    </row>
    <row r="367" ht="21.75" customHeight="1">
      <c r="A367" s="16">
        <f t="shared" si="1"/>
        <v>361</v>
      </c>
      <c r="B367" s="12"/>
      <c r="C367" s="12"/>
      <c r="D367" s="12"/>
      <c r="E367" s="12"/>
      <c r="F367" s="12"/>
      <c r="G367" s="12"/>
      <c r="H367" s="12"/>
      <c r="I367" s="12"/>
    </row>
    <row r="368" ht="21.75" customHeight="1">
      <c r="A368" s="16">
        <f t="shared" si="1"/>
        <v>362</v>
      </c>
      <c r="B368" s="12"/>
      <c r="C368" s="12"/>
      <c r="D368" s="12"/>
      <c r="E368" s="12"/>
      <c r="F368" s="12"/>
      <c r="G368" s="12"/>
      <c r="H368" s="12"/>
      <c r="I368" s="12"/>
    </row>
    <row r="369" ht="21.75" customHeight="1">
      <c r="A369" s="16">
        <f t="shared" si="1"/>
        <v>363</v>
      </c>
      <c r="B369" s="12"/>
      <c r="C369" s="12"/>
      <c r="D369" s="12"/>
      <c r="E369" s="12"/>
      <c r="F369" s="12"/>
      <c r="G369" s="12"/>
      <c r="H369" s="12"/>
      <c r="I369" s="12"/>
    </row>
    <row r="370" ht="21.75" customHeight="1">
      <c r="A370" s="16">
        <f t="shared" si="1"/>
        <v>364</v>
      </c>
      <c r="B370" s="12"/>
      <c r="C370" s="12"/>
      <c r="D370" s="12"/>
      <c r="E370" s="12"/>
      <c r="F370" s="12"/>
      <c r="G370" s="12"/>
      <c r="H370" s="12"/>
      <c r="I370" s="12"/>
    </row>
    <row r="371" ht="21.75" customHeight="1">
      <c r="A371" s="16">
        <f t="shared" si="1"/>
        <v>365</v>
      </c>
      <c r="B371" s="12"/>
      <c r="C371" s="12"/>
      <c r="D371" s="12"/>
      <c r="E371" s="12"/>
      <c r="F371" s="12"/>
      <c r="G371" s="12"/>
      <c r="H371" s="12"/>
      <c r="I371" s="12"/>
    </row>
    <row r="372" ht="21.75" customHeight="1">
      <c r="A372" s="16">
        <f t="shared" si="1"/>
        <v>366</v>
      </c>
      <c r="B372" s="12"/>
      <c r="C372" s="12"/>
      <c r="D372" s="12"/>
      <c r="E372" s="12"/>
      <c r="F372" s="12"/>
      <c r="G372" s="12"/>
      <c r="H372" s="12"/>
      <c r="I372" s="12"/>
    </row>
    <row r="373" ht="21.75" customHeight="1">
      <c r="A373" s="16">
        <f t="shared" si="1"/>
        <v>367</v>
      </c>
      <c r="B373" s="12"/>
      <c r="C373" s="12"/>
      <c r="D373" s="12"/>
      <c r="E373" s="12"/>
      <c r="F373" s="12"/>
      <c r="G373" s="12"/>
      <c r="H373" s="12"/>
      <c r="I373" s="12"/>
    </row>
    <row r="374" ht="21.75" customHeight="1">
      <c r="A374" s="16">
        <f t="shared" si="1"/>
        <v>368</v>
      </c>
      <c r="B374" s="12"/>
      <c r="C374" s="12"/>
      <c r="D374" s="12"/>
      <c r="E374" s="12"/>
      <c r="F374" s="12"/>
      <c r="G374" s="12"/>
      <c r="H374" s="12"/>
      <c r="I374" s="12"/>
    </row>
    <row r="375" ht="21.75" customHeight="1">
      <c r="A375" s="16">
        <f t="shared" si="1"/>
        <v>369</v>
      </c>
      <c r="B375" s="12"/>
      <c r="C375" s="12"/>
      <c r="D375" s="12"/>
      <c r="E375" s="12"/>
      <c r="F375" s="12"/>
      <c r="G375" s="12"/>
      <c r="H375" s="12"/>
      <c r="I375" s="12"/>
    </row>
    <row r="376" ht="21.75" customHeight="1">
      <c r="A376" s="16">
        <f t="shared" si="1"/>
        <v>370</v>
      </c>
      <c r="B376" s="12"/>
      <c r="C376" s="12"/>
      <c r="D376" s="12"/>
      <c r="E376" s="12"/>
      <c r="F376" s="12"/>
      <c r="G376" s="12"/>
      <c r="H376" s="12"/>
      <c r="I376" s="12"/>
    </row>
    <row r="377" ht="21.75" customHeight="1">
      <c r="A377" s="16">
        <f t="shared" si="1"/>
        <v>371</v>
      </c>
      <c r="B377" s="12"/>
      <c r="C377" s="12"/>
      <c r="D377" s="12"/>
      <c r="E377" s="12"/>
      <c r="F377" s="12"/>
      <c r="G377" s="12"/>
      <c r="H377" s="12"/>
      <c r="I377" s="12"/>
    </row>
    <row r="378" ht="21.75" customHeight="1">
      <c r="A378" s="16">
        <f t="shared" si="1"/>
        <v>372</v>
      </c>
      <c r="B378" s="12"/>
      <c r="C378" s="12"/>
      <c r="D378" s="12"/>
      <c r="E378" s="12"/>
      <c r="F378" s="12"/>
      <c r="G378" s="12"/>
      <c r="H378" s="12"/>
      <c r="I378" s="12"/>
    </row>
    <row r="379" ht="21.75" customHeight="1">
      <c r="A379" s="16">
        <f t="shared" si="1"/>
        <v>373</v>
      </c>
      <c r="B379" s="12"/>
      <c r="C379" s="12"/>
      <c r="D379" s="12"/>
      <c r="E379" s="12"/>
      <c r="F379" s="12"/>
      <c r="G379" s="12"/>
      <c r="H379" s="12"/>
      <c r="I379" s="12"/>
    </row>
    <row r="380" ht="21.75" customHeight="1">
      <c r="A380" s="16">
        <f t="shared" si="1"/>
        <v>374</v>
      </c>
      <c r="B380" s="12"/>
      <c r="C380" s="12"/>
      <c r="D380" s="12"/>
      <c r="E380" s="12"/>
      <c r="F380" s="12"/>
      <c r="G380" s="12"/>
      <c r="H380" s="12"/>
      <c r="I380" s="12"/>
    </row>
    <row r="381" ht="21.75" customHeight="1">
      <c r="A381" s="16">
        <f t="shared" si="1"/>
        <v>375</v>
      </c>
      <c r="B381" s="12"/>
      <c r="C381" s="12"/>
      <c r="D381" s="12"/>
      <c r="E381" s="12"/>
      <c r="F381" s="12"/>
      <c r="G381" s="12"/>
      <c r="H381" s="12"/>
      <c r="I381" s="12"/>
    </row>
    <row r="382" ht="21.75" customHeight="1">
      <c r="A382" s="16">
        <f t="shared" si="1"/>
        <v>376</v>
      </c>
      <c r="B382" s="12"/>
      <c r="C382" s="12"/>
      <c r="D382" s="12"/>
      <c r="E382" s="12"/>
      <c r="F382" s="12"/>
      <c r="G382" s="12"/>
      <c r="H382" s="12"/>
      <c r="I382" s="12"/>
    </row>
    <row r="383" ht="21.75" customHeight="1">
      <c r="A383" s="16">
        <f t="shared" si="1"/>
        <v>377</v>
      </c>
      <c r="B383" s="12"/>
      <c r="C383" s="12"/>
      <c r="D383" s="12"/>
      <c r="E383" s="12"/>
      <c r="F383" s="12"/>
      <c r="G383" s="12"/>
      <c r="H383" s="12"/>
      <c r="I383" s="12"/>
    </row>
    <row r="384" ht="21.75" customHeight="1">
      <c r="A384" s="16">
        <f t="shared" si="1"/>
        <v>378</v>
      </c>
      <c r="B384" s="12"/>
      <c r="C384" s="12"/>
      <c r="D384" s="12"/>
      <c r="E384" s="12"/>
      <c r="F384" s="12"/>
      <c r="G384" s="12"/>
      <c r="H384" s="12"/>
      <c r="I384" s="12"/>
    </row>
    <row r="385" ht="21.75" customHeight="1">
      <c r="A385" s="16">
        <f t="shared" si="1"/>
        <v>379</v>
      </c>
      <c r="B385" s="12"/>
      <c r="C385" s="12"/>
      <c r="D385" s="12"/>
      <c r="E385" s="12"/>
      <c r="F385" s="12"/>
      <c r="G385" s="12"/>
      <c r="H385" s="12"/>
      <c r="I385" s="12"/>
    </row>
    <row r="386" ht="21.75" customHeight="1">
      <c r="A386" s="16">
        <f t="shared" si="1"/>
        <v>380</v>
      </c>
      <c r="B386" s="12"/>
      <c r="C386" s="12"/>
      <c r="D386" s="12"/>
      <c r="E386" s="12"/>
      <c r="F386" s="12"/>
      <c r="G386" s="12"/>
      <c r="H386" s="12"/>
      <c r="I386" s="12"/>
    </row>
    <row r="387" ht="21.75" customHeight="1">
      <c r="A387" s="16">
        <f t="shared" si="1"/>
        <v>381</v>
      </c>
      <c r="B387" s="12"/>
      <c r="C387" s="12"/>
      <c r="D387" s="12"/>
      <c r="E387" s="12"/>
      <c r="F387" s="12"/>
      <c r="G387" s="12"/>
      <c r="H387" s="12"/>
      <c r="I387" s="12"/>
    </row>
    <row r="388" ht="21.75" customHeight="1">
      <c r="A388" s="16">
        <f t="shared" si="1"/>
        <v>382</v>
      </c>
      <c r="B388" s="12"/>
      <c r="C388" s="12"/>
      <c r="D388" s="12"/>
      <c r="E388" s="12"/>
      <c r="F388" s="12"/>
      <c r="G388" s="12"/>
      <c r="H388" s="12"/>
      <c r="I388" s="12"/>
    </row>
    <row r="389" ht="21.75" customHeight="1">
      <c r="A389" s="16">
        <f t="shared" si="1"/>
        <v>383</v>
      </c>
      <c r="B389" s="12"/>
      <c r="C389" s="12"/>
      <c r="D389" s="12"/>
      <c r="E389" s="12"/>
      <c r="F389" s="12"/>
      <c r="G389" s="12"/>
      <c r="H389" s="12"/>
      <c r="I389" s="12"/>
    </row>
    <row r="390" ht="21.75" customHeight="1">
      <c r="A390" s="16">
        <f t="shared" si="1"/>
        <v>384</v>
      </c>
      <c r="B390" s="12"/>
      <c r="C390" s="12"/>
      <c r="D390" s="12"/>
      <c r="E390" s="12"/>
      <c r="F390" s="12"/>
      <c r="G390" s="12"/>
      <c r="H390" s="12"/>
      <c r="I390" s="12"/>
    </row>
    <row r="391" ht="21.75" customHeight="1">
      <c r="A391" s="16">
        <f t="shared" si="1"/>
        <v>385</v>
      </c>
      <c r="B391" s="12"/>
      <c r="C391" s="12"/>
      <c r="D391" s="12"/>
      <c r="E391" s="12"/>
      <c r="F391" s="12"/>
      <c r="G391" s="12"/>
      <c r="H391" s="12"/>
      <c r="I391" s="12"/>
    </row>
    <row r="392" ht="21.75" customHeight="1">
      <c r="A392" s="16">
        <f t="shared" si="1"/>
        <v>386</v>
      </c>
      <c r="B392" s="12"/>
      <c r="C392" s="12"/>
      <c r="D392" s="12"/>
      <c r="E392" s="12"/>
      <c r="F392" s="12"/>
      <c r="G392" s="12"/>
      <c r="H392" s="12"/>
      <c r="I392" s="12"/>
    </row>
    <row r="393" ht="21.75" customHeight="1">
      <c r="A393" s="16">
        <f t="shared" si="1"/>
        <v>387</v>
      </c>
      <c r="B393" s="12"/>
      <c r="C393" s="12"/>
      <c r="D393" s="12"/>
      <c r="E393" s="12"/>
      <c r="F393" s="12"/>
      <c r="G393" s="12"/>
      <c r="H393" s="12"/>
      <c r="I393" s="12"/>
    </row>
    <row r="394" ht="21.75" customHeight="1">
      <c r="A394" s="16">
        <f t="shared" si="1"/>
        <v>388</v>
      </c>
      <c r="B394" s="12"/>
      <c r="C394" s="12"/>
      <c r="D394" s="12"/>
      <c r="E394" s="12"/>
      <c r="F394" s="12"/>
      <c r="G394" s="12"/>
      <c r="H394" s="12"/>
      <c r="I394" s="12"/>
    </row>
    <row r="395" ht="21.75" customHeight="1">
      <c r="A395" s="16">
        <f t="shared" si="1"/>
        <v>389</v>
      </c>
      <c r="B395" s="12"/>
      <c r="C395" s="12"/>
      <c r="D395" s="12"/>
      <c r="E395" s="12"/>
      <c r="F395" s="12"/>
      <c r="G395" s="12"/>
      <c r="H395" s="12"/>
      <c r="I395" s="12"/>
    </row>
    <row r="396" ht="21.75" customHeight="1">
      <c r="A396" s="16">
        <f t="shared" si="1"/>
        <v>390</v>
      </c>
      <c r="B396" s="12"/>
      <c r="C396" s="12"/>
      <c r="D396" s="12"/>
      <c r="E396" s="12"/>
      <c r="F396" s="12"/>
      <c r="G396" s="12"/>
      <c r="H396" s="12"/>
      <c r="I396" s="12"/>
    </row>
    <row r="397" ht="21.75" customHeight="1">
      <c r="A397" s="16">
        <f t="shared" si="1"/>
        <v>391</v>
      </c>
      <c r="B397" s="12"/>
      <c r="C397" s="12"/>
      <c r="D397" s="12"/>
      <c r="E397" s="12"/>
      <c r="F397" s="12"/>
      <c r="G397" s="12"/>
      <c r="H397" s="12"/>
      <c r="I397" s="12"/>
    </row>
    <row r="398" ht="21.75" customHeight="1">
      <c r="A398" s="16">
        <f t="shared" si="1"/>
        <v>392</v>
      </c>
      <c r="B398" s="12"/>
      <c r="C398" s="12"/>
      <c r="D398" s="12"/>
      <c r="E398" s="12"/>
      <c r="F398" s="12"/>
      <c r="G398" s="12"/>
      <c r="H398" s="12"/>
      <c r="I398" s="12"/>
    </row>
    <row r="399" ht="21.75" customHeight="1">
      <c r="A399" s="16">
        <f t="shared" si="1"/>
        <v>393</v>
      </c>
      <c r="B399" s="12"/>
      <c r="C399" s="12"/>
      <c r="D399" s="12"/>
      <c r="E399" s="12"/>
      <c r="F399" s="12"/>
      <c r="G399" s="12"/>
      <c r="H399" s="12"/>
      <c r="I399" s="12"/>
    </row>
    <row r="400" ht="21.75" customHeight="1">
      <c r="A400" s="16">
        <f t="shared" si="1"/>
        <v>394</v>
      </c>
      <c r="B400" s="12"/>
      <c r="C400" s="12"/>
      <c r="D400" s="12"/>
      <c r="E400" s="12"/>
      <c r="F400" s="12"/>
      <c r="G400" s="12"/>
      <c r="H400" s="12"/>
      <c r="I400" s="12"/>
    </row>
    <row r="401" ht="21.75" customHeight="1">
      <c r="A401" s="16">
        <f t="shared" si="1"/>
        <v>395</v>
      </c>
      <c r="B401" s="12"/>
      <c r="C401" s="12"/>
      <c r="D401" s="12"/>
      <c r="E401" s="12"/>
      <c r="F401" s="12"/>
      <c r="G401" s="12"/>
      <c r="H401" s="12"/>
      <c r="I401" s="12"/>
    </row>
    <row r="402" ht="21.75" customHeight="1">
      <c r="A402" s="16">
        <f t="shared" si="1"/>
        <v>396</v>
      </c>
      <c r="B402" s="12"/>
      <c r="C402" s="12"/>
      <c r="D402" s="12"/>
      <c r="E402" s="12"/>
      <c r="F402" s="12"/>
      <c r="G402" s="12"/>
      <c r="H402" s="12"/>
      <c r="I402" s="12"/>
    </row>
    <row r="403" ht="21.75" customHeight="1">
      <c r="A403" s="16">
        <f t="shared" si="1"/>
        <v>397</v>
      </c>
      <c r="B403" s="12"/>
      <c r="C403" s="12"/>
      <c r="D403" s="12"/>
      <c r="E403" s="12"/>
      <c r="F403" s="12"/>
      <c r="G403" s="12"/>
      <c r="H403" s="12"/>
      <c r="I403" s="12"/>
    </row>
    <row r="404" ht="21.75" customHeight="1">
      <c r="A404" s="16">
        <f t="shared" si="1"/>
        <v>398</v>
      </c>
      <c r="B404" s="12"/>
      <c r="C404" s="12"/>
      <c r="D404" s="12"/>
      <c r="E404" s="12"/>
      <c r="F404" s="12"/>
      <c r="G404" s="12"/>
      <c r="H404" s="12"/>
      <c r="I404" s="12"/>
    </row>
    <row r="405" ht="21.75" customHeight="1">
      <c r="A405" s="16">
        <f t="shared" si="1"/>
        <v>399</v>
      </c>
      <c r="B405" s="12"/>
      <c r="C405" s="12"/>
      <c r="D405" s="12"/>
      <c r="E405" s="12"/>
      <c r="F405" s="12"/>
      <c r="G405" s="12"/>
      <c r="H405" s="12"/>
      <c r="I405" s="12"/>
    </row>
    <row r="406" ht="21.75" customHeight="1">
      <c r="A406" s="16">
        <f t="shared" si="1"/>
        <v>400</v>
      </c>
      <c r="B406" s="12"/>
      <c r="C406" s="12"/>
      <c r="D406" s="12"/>
      <c r="E406" s="12"/>
      <c r="F406" s="12"/>
      <c r="G406" s="12"/>
      <c r="H406" s="12"/>
      <c r="I406" s="12"/>
    </row>
    <row r="407" ht="21.75" customHeight="1">
      <c r="A407" s="16">
        <f t="shared" si="1"/>
        <v>401</v>
      </c>
      <c r="B407" s="12"/>
      <c r="C407" s="12"/>
      <c r="D407" s="12"/>
      <c r="E407" s="12"/>
      <c r="F407" s="12"/>
      <c r="G407" s="12"/>
      <c r="H407" s="12"/>
      <c r="I407" s="12"/>
    </row>
    <row r="408" ht="21.75" customHeight="1">
      <c r="A408" s="16">
        <f t="shared" si="1"/>
        <v>402</v>
      </c>
      <c r="B408" s="12"/>
      <c r="C408" s="12"/>
      <c r="D408" s="12"/>
      <c r="E408" s="12"/>
      <c r="F408" s="12"/>
      <c r="G408" s="12"/>
      <c r="H408" s="12"/>
      <c r="I408" s="12"/>
    </row>
    <row r="409" ht="21.75" customHeight="1">
      <c r="A409" s="16">
        <f t="shared" si="1"/>
        <v>403</v>
      </c>
      <c r="B409" s="12"/>
      <c r="C409" s="12"/>
      <c r="D409" s="12"/>
      <c r="E409" s="12"/>
      <c r="F409" s="12"/>
      <c r="G409" s="12"/>
      <c r="H409" s="12"/>
      <c r="I409" s="12"/>
    </row>
    <row r="410" ht="21.75" customHeight="1">
      <c r="A410" s="16">
        <f t="shared" si="1"/>
        <v>404</v>
      </c>
      <c r="B410" s="12"/>
      <c r="C410" s="12"/>
      <c r="D410" s="12"/>
      <c r="E410" s="12"/>
      <c r="F410" s="12"/>
      <c r="G410" s="12"/>
      <c r="H410" s="12"/>
      <c r="I410" s="12"/>
    </row>
    <row r="411" ht="21.75" customHeight="1">
      <c r="A411" s="16">
        <f t="shared" si="1"/>
        <v>405</v>
      </c>
      <c r="B411" s="12"/>
      <c r="C411" s="12"/>
      <c r="D411" s="12"/>
      <c r="E411" s="12"/>
      <c r="F411" s="12"/>
      <c r="G411" s="12"/>
      <c r="H411" s="12"/>
      <c r="I411" s="12"/>
    </row>
    <row r="412" ht="21.75" customHeight="1">
      <c r="A412" s="16">
        <f t="shared" si="1"/>
        <v>406</v>
      </c>
      <c r="B412" s="12"/>
      <c r="C412" s="12"/>
      <c r="D412" s="12"/>
      <c r="E412" s="12"/>
      <c r="F412" s="12"/>
      <c r="G412" s="12"/>
      <c r="H412" s="12"/>
      <c r="I412" s="12"/>
    </row>
    <row r="413" ht="21.75" customHeight="1">
      <c r="A413" s="16">
        <f t="shared" si="1"/>
        <v>407</v>
      </c>
      <c r="B413" s="12"/>
      <c r="C413" s="12"/>
      <c r="D413" s="12"/>
      <c r="E413" s="12"/>
      <c r="F413" s="12"/>
      <c r="G413" s="12"/>
      <c r="H413" s="12"/>
      <c r="I413" s="12"/>
    </row>
    <row r="414" ht="21.75" customHeight="1">
      <c r="A414" s="16">
        <f t="shared" si="1"/>
        <v>408</v>
      </c>
      <c r="B414" s="12"/>
      <c r="C414" s="12"/>
      <c r="D414" s="12"/>
      <c r="E414" s="12"/>
      <c r="F414" s="12"/>
      <c r="G414" s="12"/>
      <c r="H414" s="12"/>
      <c r="I414" s="12"/>
    </row>
    <row r="415" ht="21.75" customHeight="1">
      <c r="A415" s="16">
        <f t="shared" si="1"/>
        <v>409</v>
      </c>
      <c r="B415" s="12"/>
      <c r="C415" s="12"/>
      <c r="D415" s="12"/>
      <c r="E415" s="12"/>
      <c r="F415" s="12"/>
      <c r="G415" s="12"/>
      <c r="H415" s="12"/>
      <c r="I415" s="12"/>
    </row>
    <row r="416" ht="21.75" customHeight="1">
      <c r="A416" s="16">
        <f t="shared" si="1"/>
        <v>410</v>
      </c>
      <c r="B416" s="12"/>
      <c r="C416" s="12"/>
      <c r="D416" s="12"/>
      <c r="E416" s="12"/>
      <c r="F416" s="12"/>
      <c r="G416" s="12"/>
      <c r="H416" s="12"/>
      <c r="I416" s="12"/>
    </row>
    <row r="417" ht="21.75" customHeight="1">
      <c r="A417" s="16">
        <f t="shared" si="1"/>
        <v>411</v>
      </c>
      <c r="B417" s="12"/>
      <c r="C417" s="12"/>
      <c r="D417" s="12"/>
      <c r="E417" s="12"/>
      <c r="F417" s="12"/>
      <c r="G417" s="12"/>
      <c r="H417" s="12"/>
      <c r="I417" s="12"/>
    </row>
    <row r="418" ht="21.75" customHeight="1">
      <c r="A418" s="16">
        <f t="shared" si="1"/>
        <v>412</v>
      </c>
      <c r="B418" s="12"/>
      <c r="C418" s="12"/>
      <c r="D418" s="12"/>
      <c r="E418" s="12"/>
      <c r="F418" s="12"/>
      <c r="G418" s="12"/>
      <c r="H418" s="12"/>
      <c r="I418" s="12"/>
    </row>
    <row r="419" ht="21.75" customHeight="1">
      <c r="A419" s="16">
        <f t="shared" si="1"/>
        <v>413</v>
      </c>
      <c r="B419" s="12"/>
      <c r="C419" s="12"/>
      <c r="D419" s="12"/>
      <c r="E419" s="12"/>
      <c r="F419" s="12"/>
      <c r="G419" s="12"/>
      <c r="H419" s="12"/>
      <c r="I419" s="12"/>
    </row>
    <row r="420" ht="21.75" customHeight="1">
      <c r="A420" s="16">
        <f t="shared" si="1"/>
        <v>414</v>
      </c>
      <c r="B420" s="12"/>
      <c r="C420" s="12"/>
      <c r="D420" s="12"/>
      <c r="E420" s="12"/>
      <c r="F420" s="12"/>
      <c r="G420" s="12"/>
      <c r="H420" s="12"/>
      <c r="I420" s="12"/>
    </row>
    <row r="421" ht="21.75" customHeight="1">
      <c r="A421" s="16">
        <f t="shared" si="1"/>
        <v>415</v>
      </c>
      <c r="B421" s="12"/>
      <c r="C421" s="12"/>
      <c r="D421" s="12"/>
      <c r="E421" s="12"/>
      <c r="F421" s="12"/>
      <c r="G421" s="12"/>
      <c r="H421" s="12"/>
      <c r="I421" s="12"/>
    </row>
    <row r="422" ht="21.75" customHeight="1">
      <c r="A422" s="16">
        <f t="shared" si="1"/>
        <v>416</v>
      </c>
      <c r="B422" s="12"/>
      <c r="C422" s="12"/>
      <c r="D422" s="12"/>
      <c r="E422" s="12"/>
      <c r="F422" s="12"/>
      <c r="G422" s="12"/>
      <c r="H422" s="12"/>
      <c r="I422" s="12"/>
    </row>
    <row r="423" ht="21.75" customHeight="1">
      <c r="A423" s="16">
        <f t="shared" si="1"/>
        <v>417</v>
      </c>
      <c r="B423" s="12"/>
      <c r="C423" s="12"/>
      <c r="D423" s="12"/>
      <c r="E423" s="12"/>
      <c r="F423" s="12"/>
      <c r="G423" s="12"/>
      <c r="H423" s="12"/>
      <c r="I423" s="12"/>
    </row>
    <row r="424" ht="21.75" customHeight="1">
      <c r="A424" s="16">
        <f t="shared" si="1"/>
        <v>418</v>
      </c>
      <c r="B424" s="12"/>
      <c r="C424" s="12"/>
      <c r="D424" s="12"/>
      <c r="E424" s="12"/>
      <c r="F424" s="12"/>
      <c r="G424" s="12"/>
      <c r="H424" s="12"/>
      <c r="I424" s="12"/>
    </row>
    <row r="425" ht="21.75" customHeight="1">
      <c r="A425" s="16">
        <f t="shared" si="1"/>
        <v>419</v>
      </c>
      <c r="B425" s="12"/>
      <c r="C425" s="12"/>
      <c r="D425" s="12"/>
      <c r="E425" s="12"/>
      <c r="F425" s="12"/>
      <c r="G425" s="12"/>
      <c r="H425" s="12"/>
      <c r="I425" s="12"/>
    </row>
    <row r="426" ht="21.75" customHeight="1">
      <c r="A426" s="16">
        <f t="shared" si="1"/>
        <v>420</v>
      </c>
      <c r="B426" s="12"/>
      <c r="C426" s="12"/>
      <c r="D426" s="12"/>
      <c r="E426" s="12"/>
      <c r="F426" s="12"/>
      <c r="G426" s="12"/>
      <c r="H426" s="12"/>
      <c r="I426" s="12"/>
    </row>
    <row r="427" ht="21.75" customHeight="1">
      <c r="A427" s="16">
        <f t="shared" si="1"/>
        <v>421</v>
      </c>
      <c r="B427" s="12"/>
      <c r="C427" s="12"/>
      <c r="D427" s="12"/>
      <c r="E427" s="12"/>
      <c r="F427" s="12"/>
      <c r="G427" s="12"/>
      <c r="H427" s="12"/>
      <c r="I427" s="12"/>
    </row>
    <row r="428" ht="21.75" customHeight="1">
      <c r="A428" s="16">
        <f t="shared" si="1"/>
        <v>422</v>
      </c>
      <c r="B428" s="12"/>
      <c r="C428" s="12"/>
      <c r="D428" s="12"/>
      <c r="E428" s="12"/>
      <c r="F428" s="12"/>
      <c r="G428" s="12"/>
      <c r="H428" s="12"/>
      <c r="I428" s="12"/>
    </row>
    <row r="429" ht="21.75" customHeight="1">
      <c r="A429" s="16">
        <f t="shared" si="1"/>
        <v>423</v>
      </c>
      <c r="B429" s="12"/>
      <c r="C429" s="12"/>
      <c r="D429" s="12"/>
      <c r="E429" s="12"/>
      <c r="F429" s="12"/>
      <c r="G429" s="12"/>
      <c r="H429" s="12"/>
      <c r="I429" s="12"/>
    </row>
    <row r="430" ht="21.75" customHeight="1">
      <c r="A430" s="16">
        <f t="shared" si="1"/>
        <v>424</v>
      </c>
      <c r="B430" s="12"/>
      <c r="C430" s="12"/>
      <c r="D430" s="12"/>
      <c r="E430" s="12"/>
      <c r="F430" s="12"/>
      <c r="G430" s="12"/>
      <c r="H430" s="12"/>
      <c r="I430" s="12"/>
    </row>
    <row r="431" ht="21.75" customHeight="1">
      <c r="A431" s="16">
        <f t="shared" si="1"/>
        <v>425</v>
      </c>
      <c r="B431" s="12"/>
      <c r="C431" s="12"/>
      <c r="D431" s="12"/>
      <c r="E431" s="12"/>
      <c r="F431" s="12"/>
      <c r="G431" s="12"/>
      <c r="H431" s="12"/>
      <c r="I431" s="12"/>
    </row>
    <row r="432" ht="21.75" customHeight="1">
      <c r="A432" s="16">
        <f t="shared" si="1"/>
        <v>426</v>
      </c>
      <c r="B432" s="12"/>
      <c r="C432" s="12"/>
      <c r="D432" s="12"/>
      <c r="E432" s="12"/>
      <c r="F432" s="12"/>
      <c r="G432" s="12"/>
      <c r="H432" s="12"/>
      <c r="I432" s="12"/>
    </row>
    <row r="433" ht="21.75" customHeight="1">
      <c r="A433" s="16">
        <f t="shared" si="1"/>
        <v>427</v>
      </c>
      <c r="B433" s="12"/>
      <c r="C433" s="12"/>
      <c r="D433" s="12"/>
      <c r="E433" s="12"/>
      <c r="F433" s="12"/>
      <c r="G433" s="12"/>
      <c r="H433" s="12"/>
      <c r="I433" s="12"/>
    </row>
    <row r="434" ht="21.75" customHeight="1">
      <c r="A434" s="16">
        <f t="shared" si="1"/>
        <v>428</v>
      </c>
      <c r="B434" s="12"/>
      <c r="C434" s="12"/>
      <c r="D434" s="12"/>
      <c r="E434" s="12"/>
      <c r="F434" s="12"/>
      <c r="G434" s="12"/>
      <c r="H434" s="12"/>
      <c r="I434" s="12"/>
    </row>
    <row r="435" ht="21.75" customHeight="1">
      <c r="A435" s="16">
        <f t="shared" si="1"/>
        <v>429</v>
      </c>
      <c r="B435" s="12"/>
      <c r="C435" s="12"/>
      <c r="D435" s="12"/>
      <c r="E435" s="12"/>
      <c r="F435" s="12"/>
      <c r="G435" s="12"/>
      <c r="H435" s="12"/>
      <c r="I435" s="12"/>
    </row>
    <row r="436" ht="21.75" customHeight="1">
      <c r="A436" s="16">
        <f t="shared" si="1"/>
        <v>430</v>
      </c>
      <c r="B436" s="12"/>
      <c r="C436" s="12"/>
      <c r="D436" s="12"/>
      <c r="E436" s="12"/>
      <c r="F436" s="12"/>
      <c r="G436" s="12"/>
      <c r="H436" s="12"/>
      <c r="I436" s="12"/>
    </row>
    <row r="437" ht="21.75" customHeight="1">
      <c r="A437" s="16">
        <f t="shared" si="1"/>
        <v>431</v>
      </c>
      <c r="B437" s="12"/>
      <c r="C437" s="12"/>
      <c r="D437" s="12"/>
      <c r="E437" s="12"/>
      <c r="F437" s="12"/>
      <c r="G437" s="12"/>
      <c r="H437" s="12"/>
      <c r="I437" s="12"/>
    </row>
    <row r="438" ht="21.75" customHeight="1">
      <c r="A438" s="16">
        <f t="shared" si="1"/>
        <v>432</v>
      </c>
      <c r="B438" s="12"/>
      <c r="C438" s="12"/>
      <c r="D438" s="12"/>
      <c r="E438" s="12"/>
      <c r="F438" s="12"/>
      <c r="G438" s="12"/>
      <c r="H438" s="12"/>
      <c r="I438" s="12"/>
    </row>
    <row r="439" ht="21.75" customHeight="1">
      <c r="A439" s="16">
        <f t="shared" si="1"/>
        <v>433</v>
      </c>
      <c r="B439" s="12"/>
      <c r="C439" s="12"/>
      <c r="D439" s="12"/>
      <c r="E439" s="12"/>
      <c r="F439" s="12"/>
      <c r="G439" s="12"/>
      <c r="H439" s="12"/>
      <c r="I439" s="12"/>
    </row>
    <row r="440" ht="21.75" customHeight="1">
      <c r="A440" s="16">
        <f t="shared" si="1"/>
        <v>434</v>
      </c>
      <c r="B440" s="12"/>
      <c r="C440" s="12"/>
      <c r="D440" s="12"/>
      <c r="E440" s="12"/>
      <c r="F440" s="12"/>
      <c r="G440" s="12"/>
      <c r="H440" s="12"/>
      <c r="I440" s="12"/>
    </row>
    <row r="441" ht="21.75" customHeight="1">
      <c r="A441" s="16">
        <f t="shared" si="1"/>
        <v>435</v>
      </c>
      <c r="B441" s="12"/>
      <c r="C441" s="12"/>
      <c r="D441" s="12"/>
      <c r="E441" s="12"/>
      <c r="F441" s="12"/>
      <c r="G441" s="12"/>
      <c r="H441" s="12"/>
      <c r="I441" s="12"/>
    </row>
    <row r="442" ht="21.75" customHeight="1">
      <c r="A442" s="16">
        <f t="shared" si="1"/>
        <v>436</v>
      </c>
      <c r="B442" s="12"/>
      <c r="C442" s="12"/>
      <c r="D442" s="12"/>
      <c r="E442" s="12"/>
      <c r="F442" s="12"/>
      <c r="G442" s="12"/>
      <c r="H442" s="12"/>
      <c r="I442" s="12"/>
    </row>
    <row r="443" ht="21.75" customHeight="1">
      <c r="A443" s="16">
        <f t="shared" si="1"/>
        <v>437</v>
      </c>
      <c r="B443" s="12"/>
      <c r="C443" s="12"/>
      <c r="D443" s="12"/>
      <c r="E443" s="12"/>
      <c r="F443" s="12"/>
      <c r="G443" s="12"/>
      <c r="H443" s="12"/>
      <c r="I443" s="12"/>
    </row>
    <row r="444" ht="21.75" customHeight="1">
      <c r="A444" s="16">
        <f t="shared" si="1"/>
        <v>438</v>
      </c>
      <c r="B444" s="12"/>
      <c r="C444" s="12"/>
      <c r="D444" s="12"/>
      <c r="E444" s="12"/>
      <c r="F444" s="12"/>
      <c r="G444" s="12"/>
      <c r="H444" s="12"/>
      <c r="I444" s="12"/>
    </row>
    <row r="445" ht="21.75" customHeight="1">
      <c r="A445" s="16">
        <f t="shared" si="1"/>
        <v>439</v>
      </c>
      <c r="B445" s="12"/>
      <c r="C445" s="12"/>
      <c r="D445" s="12"/>
      <c r="E445" s="12"/>
      <c r="F445" s="12"/>
      <c r="G445" s="12"/>
      <c r="H445" s="12"/>
      <c r="I445" s="12"/>
    </row>
    <row r="446" ht="21.75" customHeight="1">
      <c r="A446" s="16">
        <f t="shared" si="1"/>
        <v>440</v>
      </c>
      <c r="B446" s="12"/>
      <c r="C446" s="12"/>
      <c r="D446" s="12"/>
      <c r="E446" s="12"/>
      <c r="F446" s="12"/>
      <c r="G446" s="12"/>
      <c r="H446" s="12"/>
      <c r="I446" s="12"/>
    </row>
    <row r="447" ht="21.75" customHeight="1">
      <c r="A447" s="16">
        <f t="shared" si="1"/>
        <v>441</v>
      </c>
      <c r="B447" s="12"/>
      <c r="C447" s="12"/>
      <c r="D447" s="12"/>
      <c r="E447" s="12"/>
      <c r="F447" s="12"/>
      <c r="G447" s="12"/>
      <c r="H447" s="12"/>
      <c r="I447" s="12"/>
    </row>
    <row r="448" ht="21.75" customHeight="1">
      <c r="A448" s="16">
        <f t="shared" si="1"/>
        <v>442</v>
      </c>
      <c r="B448" s="12"/>
      <c r="C448" s="12"/>
      <c r="D448" s="12"/>
      <c r="E448" s="12"/>
      <c r="F448" s="12"/>
      <c r="G448" s="12"/>
      <c r="H448" s="12"/>
      <c r="I448" s="12"/>
    </row>
    <row r="449" ht="21.75" customHeight="1">
      <c r="A449" s="16">
        <f t="shared" si="1"/>
        <v>443</v>
      </c>
      <c r="B449" s="12"/>
      <c r="C449" s="12"/>
      <c r="D449" s="12"/>
      <c r="E449" s="12"/>
      <c r="F449" s="12"/>
      <c r="G449" s="12"/>
      <c r="H449" s="12"/>
      <c r="I449" s="12"/>
    </row>
    <row r="450" ht="21.75" customHeight="1">
      <c r="A450" s="16">
        <f t="shared" si="1"/>
        <v>444</v>
      </c>
      <c r="B450" s="12"/>
      <c r="C450" s="12"/>
      <c r="D450" s="12"/>
      <c r="E450" s="12"/>
      <c r="F450" s="12"/>
      <c r="G450" s="12"/>
      <c r="H450" s="12"/>
      <c r="I450" s="12"/>
    </row>
    <row r="451" ht="21.75" customHeight="1">
      <c r="A451" s="16">
        <f t="shared" si="1"/>
        <v>445</v>
      </c>
      <c r="B451" s="12"/>
      <c r="C451" s="12"/>
      <c r="D451" s="12"/>
      <c r="E451" s="12"/>
      <c r="F451" s="12"/>
      <c r="G451" s="12"/>
      <c r="H451" s="12"/>
      <c r="I451" s="12"/>
    </row>
    <row r="452" ht="21.75" customHeight="1">
      <c r="A452" s="16">
        <f t="shared" si="1"/>
        <v>446</v>
      </c>
      <c r="B452" s="12"/>
      <c r="C452" s="12"/>
      <c r="D452" s="12"/>
      <c r="E452" s="12"/>
      <c r="F452" s="12"/>
      <c r="G452" s="12"/>
      <c r="H452" s="12"/>
      <c r="I452" s="12"/>
    </row>
    <row r="453" ht="21.75" customHeight="1">
      <c r="A453" s="16">
        <f t="shared" si="1"/>
        <v>447</v>
      </c>
      <c r="B453" s="12"/>
      <c r="C453" s="12"/>
      <c r="D453" s="12"/>
      <c r="E453" s="12"/>
      <c r="F453" s="12"/>
      <c r="G453" s="12"/>
      <c r="H453" s="12"/>
      <c r="I453" s="12"/>
    </row>
    <row r="454" ht="21.75" customHeight="1">
      <c r="A454" s="16">
        <f t="shared" si="1"/>
        <v>448</v>
      </c>
      <c r="B454" s="12"/>
      <c r="C454" s="12"/>
      <c r="D454" s="12"/>
      <c r="E454" s="12"/>
      <c r="F454" s="12"/>
      <c r="G454" s="12"/>
      <c r="H454" s="12"/>
      <c r="I454" s="12"/>
    </row>
    <row r="455" ht="21.75" customHeight="1">
      <c r="A455" s="16">
        <f t="shared" si="1"/>
        <v>449</v>
      </c>
      <c r="B455" s="12"/>
      <c r="C455" s="12"/>
      <c r="D455" s="12"/>
      <c r="E455" s="12"/>
      <c r="F455" s="12"/>
      <c r="G455" s="12"/>
      <c r="H455" s="12"/>
      <c r="I455" s="12"/>
    </row>
    <row r="456" ht="21.75" customHeight="1">
      <c r="A456" s="16">
        <f t="shared" si="1"/>
        <v>450</v>
      </c>
      <c r="B456" s="12"/>
      <c r="C456" s="12"/>
      <c r="D456" s="12"/>
      <c r="E456" s="12"/>
      <c r="F456" s="12"/>
      <c r="G456" s="12"/>
      <c r="H456" s="12"/>
      <c r="I456" s="12"/>
    </row>
    <row r="457" ht="21.75" customHeight="1">
      <c r="A457" s="16">
        <f t="shared" si="1"/>
        <v>451</v>
      </c>
      <c r="B457" s="12"/>
      <c r="C457" s="12"/>
      <c r="D457" s="12"/>
      <c r="E457" s="12"/>
      <c r="F457" s="12"/>
      <c r="G457" s="12"/>
      <c r="H457" s="12"/>
      <c r="I457" s="12"/>
    </row>
    <row r="458" ht="21.75" customHeight="1">
      <c r="A458" s="16">
        <f t="shared" si="1"/>
        <v>452</v>
      </c>
      <c r="B458" s="12"/>
      <c r="C458" s="12"/>
      <c r="D458" s="12"/>
      <c r="E458" s="12"/>
      <c r="F458" s="12"/>
      <c r="G458" s="12"/>
      <c r="H458" s="12"/>
      <c r="I458" s="12"/>
    </row>
    <row r="459" ht="21.75" customHeight="1">
      <c r="A459" s="16">
        <f t="shared" si="1"/>
        <v>453</v>
      </c>
      <c r="B459" s="12"/>
      <c r="C459" s="12"/>
      <c r="D459" s="12"/>
      <c r="E459" s="12"/>
      <c r="F459" s="12"/>
      <c r="G459" s="12"/>
      <c r="H459" s="12"/>
      <c r="I459" s="12"/>
    </row>
    <row r="460" ht="21.75" customHeight="1">
      <c r="A460" s="16">
        <f t="shared" si="1"/>
        <v>454</v>
      </c>
      <c r="B460" s="12"/>
      <c r="C460" s="12"/>
      <c r="D460" s="12"/>
      <c r="E460" s="12"/>
      <c r="F460" s="12"/>
      <c r="G460" s="12"/>
      <c r="H460" s="12"/>
      <c r="I460" s="12"/>
    </row>
    <row r="461" ht="21.75" customHeight="1">
      <c r="A461" s="16">
        <f t="shared" si="1"/>
        <v>455</v>
      </c>
      <c r="B461" s="12"/>
      <c r="C461" s="12"/>
      <c r="D461" s="12"/>
      <c r="E461" s="12"/>
      <c r="F461" s="12"/>
      <c r="G461" s="12"/>
      <c r="H461" s="12"/>
      <c r="I461" s="12"/>
    </row>
    <row r="462" ht="21.75" customHeight="1">
      <c r="A462" s="16">
        <f t="shared" si="1"/>
        <v>456</v>
      </c>
      <c r="B462" s="12"/>
      <c r="C462" s="12"/>
      <c r="D462" s="12"/>
      <c r="E462" s="12"/>
      <c r="F462" s="12"/>
      <c r="G462" s="12"/>
      <c r="H462" s="12"/>
      <c r="I462" s="12"/>
    </row>
    <row r="463" ht="21.75" customHeight="1">
      <c r="A463" s="16">
        <f t="shared" si="1"/>
        <v>457</v>
      </c>
      <c r="B463" s="12"/>
      <c r="C463" s="12"/>
      <c r="D463" s="12"/>
      <c r="E463" s="12"/>
      <c r="F463" s="12"/>
      <c r="G463" s="12"/>
      <c r="H463" s="12"/>
      <c r="I463" s="12"/>
    </row>
    <row r="464" ht="21.75" customHeight="1">
      <c r="A464" s="16">
        <f t="shared" si="1"/>
        <v>458</v>
      </c>
      <c r="B464" s="12"/>
      <c r="C464" s="12"/>
      <c r="D464" s="12"/>
      <c r="E464" s="12"/>
      <c r="F464" s="12"/>
      <c r="G464" s="12"/>
      <c r="H464" s="12"/>
      <c r="I464" s="12"/>
    </row>
    <row r="465" ht="21.75" customHeight="1">
      <c r="A465" s="16">
        <f t="shared" si="1"/>
        <v>459</v>
      </c>
      <c r="B465" s="12"/>
      <c r="C465" s="12"/>
      <c r="D465" s="12"/>
      <c r="E465" s="12"/>
      <c r="F465" s="12"/>
      <c r="G465" s="12"/>
      <c r="H465" s="12"/>
      <c r="I465" s="12"/>
    </row>
    <row r="466" ht="21.75" customHeight="1">
      <c r="A466" s="16">
        <f t="shared" si="1"/>
        <v>460</v>
      </c>
      <c r="B466" s="12"/>
      <c r="C466" s="12"/>
      <c r="D466" s="12"/>
      <c r="E466" s="12"/>
      <c r="F466" s="12"/>
      <c r="G466" s="12"/>
      <c r="H466" s="12"/>
      <c r="I466" s="12"/>
    </row>
    <row r="467" ht="21.75" customHeight="1">
      <c r="A467" s="16">
        <f t="shared" si="1"/>
        <v>461</v>
      </c>
      <c r="B467" s="12"/>
      <c r="C467" s="12"/>
      <c r="D467" s="12"/>
      <c r="E467" s="12"/>
      <c r="F467" s="12"/>
      <c r="G467" s="12"/>
      <c r="H467" s="12"/>
      <c r="I467" s="12"/>
    </row>
    <row r="468" ht="21.75" customHeight="1">
      <c r="A468" s="16">
        <f t="shared" si="1"/>
        <v>462</v>
      </c>
      <c r="B468" s="12"/>
      <c r="C468" s="12"/>
      <c r="D468" s="12"/>
      <c r="E468" s="12"/>
      <c r="F468" s="12"/>
      <c r="G468" s="12"/>
      <c r="H468" s="12"/>
      <c r="I468" s="12"/>
    </row>
    <row r="469" ht="21.75" customHeight="1">
      <c r="A469" s="16">
        <f t="shared" si="1"/>
        <v>463</v>
      </c>
      <c r="B469" s="12"/>
      <c r="C469" s="12"/>
      <c r="D469" s="12"/>
      <c r="E469" s="12"/>
      <c r="F469" s="12"/>
      <c r="G469" s="12"/>
      <c r="H469" s="12"/>
      <c r="I469" s="12"/>
    </row>
    <row r="470" ht="21.75" customHeight="1">
      <c r="A470" s="16">
        <f t="shared" si="1"/>
        <v>464</v>
      </c>
      <c r="B470" s="12"/>
      <c r="C470" s="12"/>
      <c r="D470" s="12"/>
      <c r="E470" s="12"/>
      <c r="F470" s="12"/>
      <c r="G470" s="12"/>
      <c r="H470" s="12"/>
      <c r="I470" s="12"/>
    </row>
    <row r="471" ht="21.75" customHeight="1">
      <c r="A471" s="16">
        <f t="shared" si="1"/>
        <v>465</v>
      </c>
      <c r="B471" s="12"/>
      <c r="C471" s="12"/>
      <c r="D471" s="12"/>
      <c r="E471" s="12"/>
      <c r="F471" s="12"/>
      <c r="G471" s="12"/>
      <c r="H471" s="12"/>
      <c r="I471" s="12"/>
    </row>
    <row r="472" ht="21.75" customHeight="1">
      <c r="A472" s="16">
        <f t="shared" si="1"/>
        <v>466</v>
      </c>
      <c r="B472" s="12"/>
      <c r="C472" s="12"/>
      <c r="D472" s="12"/>
      <c r="E472" s="12"/>
      <c r="F472" s="12"/>
      <c r="G472" s="12"/>
      <c r="H472" s="12"/>
      <c r="I472" s="12"/>
    </row>
    <row r="473" ht="21.75" customHeight="1">
      <c r="A473" s="16">
        <f t="shared" si="1"/>
        <v>467</v>
      </c>
      <c r="B473" s="12"/>
      <c r="C473" s="12"/>
      <c r="D473" s="12"/>
      <c r="E473" s="12"/>
      <c r="F473" s="12"/>
      <c r="G473" s="12"/>
      <c r="H473" s="12"/>
      <c r="I473" s="12"/>
    </row>
    <row r="474" ht="21.75" customHeight="1">
      <c r="A474" s="16">
        <f t="shared" si="1"/>
        <v>468</v>
      </c>
      <c r="B474" s="12"/>
      <c r="C474" s="12"/>
      <c r="D474" s="12"/>
      <c r="E474" s="12"/>
      <c r="F474" s="12"/>
      <c r="G474" s="12"/>
      <c r="H474" s="12"/>
      <c r="I474" s="12"/>
    </row>
    <row r="475" ht="21.75" customHeight="1">
      <c r="A475" s="16">
        <f t="shared" si="1"/>
        <v>469</v>
      </c>
      <c r="B475" s="12"/>
      <c r="C475" s="12"/>
      <c r="D475" s="12"/>
      <c r="E475" s="12"/>
      <c r="F475" s="12"/>
      <c r="G475" s="12"/>
      <c r="H475" s="12"/>
      <c r="I475" s="12"/>
    </row>
    <row r="476" ht="21.75" customHeight="1">
      <c r="A476" s="16">
        <f t="shared" si="1"/>
        <v>470</v>
      </c>
      <c r="B476" s="12"/>
      <c r="C476" s="12"/>
      <c r="D476" s="12"/>
      <c r="E476" s="12"/>
      <c r="F476" s="12"/>
      <c r="G476" s="12"/>
      <c r="H476" s="12"/>
      <c r="I476" s="12"/>
    </row>
    <row r="477" ht="21.75" customHeight="1">
      <c r="A477" s="16">
        <f t="shared" si="1"/>
        <v>471</v>
      </c>
      <c r="B477" s="12"/>
      <c r="C477" s="12"/>
      <c r="D477" s="12"/>
      <c r="E477" s="12"/>
      <c r="F477" s="12"/>
      <c r="G477" s="12"/>
      <c r="H477" s="12"/>
      <c r="I477" s="12"/>
    </row>
    <row r="478" ht="21.75" customHeight="1">
      <c r="A478" s="16">
        <f t="shared" si="1"/>
        <v>472</v>
      </c>
      <c r="B478" s="12"/>
      <c r="C478" s="12"/>
      <c r="D478" s="12"/>
      <c r="E478" s="12"/>
      <c r="F478" s="12"/>
      <c r="G478" s="12"/>
      <c r="H478" s="12"/>
      <c r="I478" s="12"/>
    </row>
    <row r="479" ht="21.75" customHeight="1">
      <c r="A479" s="16">
        <f t="shared" si="1"/>
        <v>473</v>
      </c>
      <c r="B479" s="12"/>
      <c r="C479" s="12"/>
      <c r="D479" s="12"/>
      <c r="E479" s="12"/>
      <c r="F479" s="12"/>
      <c r="G479" s="12"/>
      <c r="H479" s="12"/>
      <c r="I479" s="12"/>
    </row>
    <row r="480" ht="21.75" customHeight="1">
      <c r="A480" s="16">
        <f t="shared" si="1"/>
        <v>474</v>
      </c>
      <c r="B480" s="12"/>
      <c r="C480" s="12"/>
      <c r="D480" s="12"/>
      <c r="E480" s="12"/>
      <c r="F480" s="12"/>
      <c r="G480" s="12"/>
      <c r="H480" s="12"/>
      <c r="I480" s="12"/>
    </row>
    <row r="481" ht="21.75" customHeight="1">
      <c r="A481" s="16">
        <f t="shared" si="1"/>
        <v>475</v>
      </c>
      <c r="B481" s="12"/>
      <c r="C481" s="12"/>
      <c r="D481" s="12"/>
      <c r="E481" s="12"/>
      <c r="F481" s="12"/>
      <c r="G481" s="12"/>
      <c r="H481" s="12"/>
      <c r="I481" s="12"/>
    </row>
    <row r="482" ht="21.75" customHeight="1">
      <c r="A482" s="16">
        <f t="shared" si="1"/>
        <v>476</v>
      </c>
      <c r="B482" s="12"/>
      <c r="C482" s="12"/>
      <c r="D482" s="12"/>
      <c r="E482" s="12"/>
      <c r="F482" s="12"/>
      <c r="G482" s="12"/>
      <c r="H482" s="12"/>
      <c r="I482" s="12"/>
    </row>
    <row r="483" ht="21.75" customHeight="1">
      <c r="A483" s="16">
        <f t="shared" si="1"/>
        <v>477</v>
      </c>
      <c r="B483" s="12"/>
      <c r="C483" s="12"/>
      <c r="D483" s="12"/>
      <c r="E483" s="12"/>
      <c r="F483" s="12"/>
      <c r="G483" s="12"/>
      <c r="H483" s="12"/>
      <c r="I483" s="12"/>
    </row>
    <row r="484" ht="21.75" customHeight="1">
      <c r="A484" s="16">
        <f t="shared" si="1"/>
        <v>478</v>
      </c>
      <c r="B484" s="12"/>
      <c r="C484" s="12"/>
      <c r="D484" s="12"/>
      <c r="E484" s="12"/>
      <c r="F484" s="12"/>
      <c r="G484" s="12"/>
      <c r="H484" s="12"/>
      <c r="I484" s="12"/>
    </row>
    <row r="485" ht="21.75" customHeight="1">
      <c r="A485" s="16">
        <f t="shared" si="1"/>
        <v>479</v>
      </c>
      <c r="B485" s="12"/>
      <c r="C485" s="12"/>
      <c r="D485" s="12"/>
      <c r="E485" s="12"/>
      <c r="F485" s="12"/>
      <c r="G485" s="12"/>
      <c r="H485" s="12"/>
      <c r="I485" s="12"/>
    </row>
    <row r="486" ht="21.75" customHeight="1">
      <c r="A486" s="16">
        <f t="shared" si="1"/>
        <v>480</v>
      </c>
      <c r="B486" s="12"/>
      <c r="C486" s="12"/>
      <c r="D486" s="12"/>
      <c r="E486" s="12"/>
      <c r="F486" s="12"/>
      <c r="G486" s="12"/>
      <c r="H486" s="12"/>
      <c r="I486" s="12"/>
    </row>
    <row r="487" ht="21.75" customHeight="1">
      <c r="A487" s="16">
        <f t="shared" si="1"/>
        <v>481</v>
      </c>
      <c r="B487" s="12"/>
      <c r="C487" s="12"/>
      <c r="D487" s="12"/>
      <c r="E487" s="12"/>
      <c r="F487" s="12"/>
      <c r="G487" s="12"/>
      <c r="H487" s="12"/>
      <c r="I487" s="12"/>
    </row>
    <row r="488" ht="21.75" customHeight="1">
      <c r="A488" s="16">
        <f t="shared" si="1"/>
        <v>482</v>
      </c>
      <c r="B488" s="12"/>
      <c r="C488" s="12"/>
      <c r="D488" s="12"/>
      <c r="E488" s="12"/>
      <c r="F488" s="12"/>
      <c r="G488" s="12"/>
      <c r="H488" s="12"/>
      <c r="I488" s="12"/>
    </row>
    <row r="489" ht="21.75" customHeight="1">
      <c r="A489" s="16">
        <f t="shared" si="1"/>
        <v>483</v>
      </c>
      <c r="B489" s="12"/>
      <c r="C489" s="12"/>
      <c r="D489" s="12"/>
      <c r="E489" s="12"/>
      <c r="F489" s="12"/>
      <c r="G489" s="12"/>
      <c r="H489" s="12"/>
      <c r="I489" s="12"/>
    </row>
    <row r="490" ht="21.75" customHeight="1">
      <c r="A490" s="16">
        <f t="shared" si="1"/>
        <v>484</v>
      </c>
      <c r="B490" s="12"/>
      <c r="C490" s="12"/>
      <c r="D490" s="12"/>
      <c r="E490" s="12"/>
      <c r="F490" s="12"/>
      <c r="G490" s="12"/>
      <c r="H490" s="12"/>
      <c r="I490" s="12"/>
    </row>
    <row r="491" ht="21.75" customHeight="1">
      <c r="A491" s="16">
        <f t="shared" si="1"/>
        <v>485</v>
      </c>
      <c r="B491" s="12"/>
      <c r="C491" s="12"/>
      <c r="D491" s="12"/>
      <c r="E491" s="12"/>
      <c r="F491" s="12"/>
      <c r="G491" s="12"/>
      <c r="H491" s="12"/>
      <c r="I491" s="12"/>
    </row>
    <row r="492" ht="21.75" customHeight="1">
      <c r="A492" s="16">
        <f t="shared" si="1"/>
        <v>486</v>
      </c>
      <c r="B492" s="12"/>
      <c r="C492" s="12"/>
      <c r="D492" s="12"/>
      <c r="E492" s="12"/>
      <c r="F492" s="12"/>
      <c r="G492" s="12"/>
      <c r="H492" s="12"/>
      <c r="I492" s="12"/>
    </row>
    <row r="493" ht="21.75" customHeight="1">
      <c r="A493" s="16">
        <f t="shared" si="1"/>
        <v>487</v>
      </c>
      <c r="B493" s="12"/>
      <c r="C493" s="12"/>
      <c r="D493" s="12"/>
      <c r="E493" s="12"/>
      <c r="F493" s="12"/>
      <c r="G493" s="12"/>
      <c r="H493" s="12"/>
      <c r="I493" s="12"/>
    </row>
    <row r="494" ht="21.75" customHeight="1">
      <c r="A494" s="16">
        <f t="shared" si="1"/>
        <v>488</v>
      </c>
      <c r="B494" s="12"/>
      <c r="C494" s="12"/>
      <c r="D494" s="12"/>
      <c r="E494" s="12"/>
      <c r="F494" s="12"/>
      <c r="G494" s="12"/>
      <c r="H494" s="12"/>
      <c r="I494" s="12"/>
    </row>
    <row r="495" ht="21.75" customHeight="1">
      <c r="A495" s="16">
        <f t="shared" si="1"/>
        <v>489</v>
      </c>
      <c r="B495" s="12"/>
      <c r="C495" s="12"/>
      <c r="D495" s="12"/>
      <c r="E495" s="12"/>
      <c r="F495" s="12"/>
      <c r="G495" s="12"/>
      <c r="H495" s="12"/>
      <c r="I495" s="12"/>
    </row>
    <row r="496" ht="21.75" customHeight="1">
      <c r="A496" s="16">
        <f t="shared" si="1"/>
        <v>490</v>
      </c>
      <c r="B496" s="12"/>
      <c r="C496" s="12"/>
      <c r="D496" s="12"/>
      <c r="E496" s="12"/>
      <c r="F496" s="12"/>
      <c r="G496" s="12"/>
      <c r="H496" s="12"/>
      <c r="I496" s="12"/>
    </row>
    <row r="497" ht="21.75" customHeight="1">
      <c r="A497" s="16">
        <f t="shared" si="1"/>
        <v>491</v>
      </c>
      <c r="B497" s="12"/>
      <c r="C497" s="12"/>
      <c r="D497" s="12"/>
      <c r="E497" s="12"/>
      <c r="F497" s="12"/>
      <c r="G497" s="12"/>
      <c r="H497" s="12"/>
      <c r="I497" s="12"/>
    </row>
    <row r="498" ht="21.75" customHeight="1">
      <c r="A498" s="16">
        <f t="shared" si="1"/>
        <v>492</v>
      </c>
      <c r="B498" s="12"/>
      <c r="C498" s="12"/>
      <c r="D498" s="12"/>
      <c r="E498" s="12"/>
      <c r="F498" s="12"/>
      <c r="G498" s="12"/>
      <c r="H498" s="12"/>
      <c r="I498" s="12"/>
    </row>
    <row r="499" ht="21.75" customHeight="1">
      <c r="A499" s="16">
        <f t="shared" si="1"/>
        <v>493</v>
      </c>
      <c r="B499" s="12"/>
      <c r="C499" s="12"/>
      <c r="D499" s="12"/>
      <c r="E499" s="12"/>
      <c r="F499" s="12"/>
      <c r="G499" s="12"/>
      <c r="H499" s="12"/>
      <c r="I499" s="12"/>
    </row>
    <row r="500" ht="21.75" customHeight="1">
      <c r="A500" s="16">
        <f t="shared" si="1"/>
        <v>494</v>
      </c>
      <c r="B500" s="12"/>
      <c r="C500" s="12"/>
      <c r="D500" s="12"/>
      <c r="E500" s="12"/>
      <c r="F500" s="12"/>
      <c r="G500" s="12"/>
      <c r="H500" s="12"/>
      <c r="I500" s="12"/>
    </row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I3"/>
    <mergeCell ref="A4:I4"/>
  </mergeCells>
  <dataValidations>
    <dataValidation type="list" allowBlank="1" showErrorMessage="1" sqref="B7:B500">
      <formula1>Proveedores!$B$7:$B$56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36.0"/>
    <col customWidth="1" min="3" max="4" width="12.0"/>
    <col customWidth="1" min="5" max="5" width="28.0"/>
    <col customWidth="1" min="6" max="21" width="8.86"/>
  </cols>
  <sheetData>
    <row r="1" ht="21.75" customHeight="1">
      <c r="A1" s="15" t="s">
        <v>14</v>
      </c>
      <c r="B1" s="15" t="s">
        <v>15</v>
      </c>
      <c r="C1" s="15" t="s">
        <v>16</v>
      </c>
      <c r="D1" s="15" t="s">
        <v>19</v>
      </c>
      <c r="E1" s="15" t="s">
        <v>23</v>
      </c>
    </row>
    <row r="2" ht="21.75" customHeight="1">
      <c r="A2" s="16" t="str">
        <f>Productos!B7</f>
        <v>Proveedor 1</v>
      </c>
      <c r="B2" s="16" t="str">
        <f>Productos!C7</f>
        <v>Vino blanco de la casa</v>
      </c>
      <c r="C2" s="16" t="str">
        <f>Productos!E7</f>
        <v>Caja (6uds)</v>
      </c>
      <c r="D2" s="19"/>
      <c r="E2" s="12"/>
    </row>
    <row r="3" ht="21.75" customHeight="1">
      <c r="A3" s="16" t="str">
        <f>Productos!B8</f>
        <v>Proveedor 1</v>
      </c>
      <c r="B3" s="16" t="str">
        <f>Productos!C8</f>
        <v>Vino tinto de la casa</v>
      </c>
      <c r="C3" s="16" t="str">
        <f>Productos!E8</f>
        <v>Caja (6uds)</v>
      </c>
      <c r="D3" s="19"/>
      <c r="E3" s="12"/>
    </row>
    <row r="4" ht="21.75" customHeight="1">
      <c r="A4" s="16" t="str">
        <f>Productos!B9</f>
        <v>Proveedor 1</v>
      </c>
      <c r="B4" s="16" t="str">
        <f>Productos!C9</f>
        <v>Vino rosado de la casa</v>
      </c>
      <c r="C4" s="16" t="str">
        <f>Productos!E9</f>
        <v>Caja (6uds)</v>
      </c>
      <c r="D4" s="19"/>
      <c r="E4" s="12"/>
    </row>
    <row r="5" ht="21.75" customHeight="1">
      <c r="A5" s="16" t="str">
        <f>Productos!B10</f>
        <v>Proveedor 1</v>
      </c>
      <c r="B5" s="16" t="str">
        <f>Productos!C10</f>
        <v>Vinagre</v>
      </c>
      <c r="C5" s="16" t="str">
        <f>Productos!E10</f>
        <v>Fardo (15L)</v>
      </c>
      <c r="D5" s="19"/>
      <c r="E5" s="12"/>
    </row>
    <row r="6" ht="21.75" customHeight="1">
      <c r="A6" s="16" t="str">
        <f>Productos!B11</f>
        <v>Proveedor 2</v>
      </c>
      <c r="B6" s="16" t="str">
        <f>Productos!C11</f>
        <v>Servilletas de mesa</v>
      </c>
      <c r="C6" s="16" t="str">
        <f>Productos!E11</f>
        <v>Caja (20 paq)</v>
      </c>
      <c r="D6" s="19"/>
      <c r="E6" s="12"/>
    </row>
    <row r="7" ht="21.75" customHeight="1">
      <c r="A7" s="16" t="str">
        <f>Productos!B12</f>
        <v>Proveedor 2</v>
      </c>
      <c r="B7" s="16" t="str">
        <f>Productos!C12</f>
        <v>Bayetas</v>
      </c>
      <c r="C7" s="16" t="str">
        <f>Productos!E12</f>
        <v>Paquete (10ud)</v>
      </c>
      <c r="D7" s="19"/>
      <c r="E7" s="12"/>
    </row>
    <row r="8" ht="21.75" customHeight="1">
      <c r="A8" s="16" t="str">
        <f>Productos!B13</f>
        <v>Proveedor 2</v>
      </c>
      <c r="B8" s="16" t="str">
        <f>Productos!C13</f>
        <v>Desengrasante</v>
      </c>
      <c r="C8" s="16" t="str">
        <f>Productos!E13</f>
        <v>Garrafa (5L)</v>
      </c>
      <c r="D8" s="19"/>
      <c r="E8" s="12"/>
    </row>
    <row r="9" ht="21.75" customHeight="1">
      <c r="A9" s="16" t="str">
        <f>Productos!B14</f>
        <v>Proveedor 2</v>
      </c>
      <c r="B9" s="16" t="str">
        <f>Productos!C14</f>
        <v>Amoniaco</v>
      </c>
      <c r="C9" s="16" t="str">
        <f>Productos!E14</f>
        <v>Garrafa (5L)</v>
      </c>
      <c r="D9" s="19"/>
      <c r="E9" s="12"/>
    </row>
    <row r="10" ht="21.75" customHeight="1">
      <c r="A10" s="16" t="str">
        <f>Productos!B15</f>
        <v>Proveedor 3</v>
      </c>
      <c r="B10" s="16" t="str">
        <f>Productos!C15</f>
        <v>Ron barceló</v>
      </c>
      <c r="C10" s="16" t="str">
        <f>Productos!E15</f>
        <v>Botella</v>
      </c>
      <c r="D10" s="19"/>
      <c r="E10" s="12"/>
    </row>
    <row r="11" ht="21.75" customHeight="1">
      <c r="A11" s="16" t="str">
        <f>Productos!B16</f>
        <v>Proveedor 3</v>
      </c>
      <c r="B11" s="16" t="str">
        <f>Productos!C16</f>
        <v>Gin seegrams</v>
      </c>
      <c r="C11" s="16" t="str">
        <f>Productos!E16</f>
        <v>Botella</v>
      </c>
      <c r="D11" s="19"/>
      <c r="E11" s="12"/>
    </row>
    <row r="12" ht="21.75" customHeight="1">
      <c r="A12" s="16" t="str">
        <f>Productos!B17</f>
        <v>Proveedor 4</v>
      </c>
      <c r="B12" s="16" t="str">
        <f>Productos!C17</f>
        <v>Coca cola cristal 33cl</v>
      </c>
      <c r="C12" s="16" t="str">
        <f>Productos!E17</f>
        <v>Caja (24ud)</v>
      </c>
      <c r="D12" s="19"/>
      <c r="E12" s="12"/>
    </row>
    <row r="13" ht="21.75" customHeight="1">
      <c r="A13" s="16" t="str">
        <f>Productos!B18</f>
        <v>Proveedor 4</v>
      </c>
      <c r="B13" s="16" t="str">
        <f>Productos!C18</f>
        <v>Coca cola zero cristal 33cl</v>
      </c>
      <c r="C13" s="16" t="str">
        <f>Productos!E18</f>
        <v>Caja (24ud)</v>
      </c>
      <c r="D13" s="19"/>
      <c r="E13" s="12"/>
    </row>
    <row r="14" ht="21.75" customHeight="1">
      <c r="A14" s="16" t="str">
        <f>Productos!B19</f>
        <v>Proveedor 4</v>
      </c>
      <c r="B14" s="16" t="str">
        <f>Productos!C19</f>
        <v>Fanta naranja cristal 33cl</v>
      </c>
      <c r="C14" s="16" t="str">
        <f>Productos!E19</f>
        <v>Caja (24ud)</v>
      </c>
      <c r="D14" s="19"/>
      <c r="E14" s="12"/>
    </row>
    <row r="15" ht="21.75" customHeight="1">
      <c r="A15" s="16" t="str">
        <f>Productos!B20</f>
        <v>Proveedor 4</v>
      </c>
      <c r="B15" s="16" t="str">
        <f>Productos!C20</f>
        <v>Fanta limon cristal 33cl</v>
      </c>
      <c r="C15" s="16" t="str">
        <f>Productos!E20</f>
        <v>Caja (24Ud)</v>
      </c>
      <c r="D15" s="19"/>
      <c r="E15" s="12"/>
    </row>
    <row r="16" ht="21.75" customHeight="1">
      <c r="A16" s="16" t="str">
        <f>Productos!B21</f>
        <v>Proveedor 4</v>
      </c>
      <c r="B16" s="16" t="str">
        <f>Productos!C21</f>
        <v>Fuzetea cristal 33cl</v>
      </c>
      <c r="C16" s="16" t="str">
        <f>Productos!E21</f>
        <v>Caja (24Ud)</v>
      </c>
      <c r="D16" s="19"/>
      <c r="E16" s="12"/>
    </row>
    <row r="17" ht="21.75" customHeight="1">
      <c r="A17" s="16" t="str">
        <f>Productos!B22</f>
        <v>Proveedor 4</v>
      </c>
      <c r="B17" s="16" t="str">
        <f>Productos!C22</f>
        <v>Aquabona cristal 0,5</v>
      </c>
      <c r="C17" s="16" t="str">
        <f>Productos!E22</f>
        <v>Caja (12ud)</v>
      </c>
      <c r="D17" s="19"/>
      <c r="E17" s="12"/>
    </row>
    <row r="18" ht="21.75" customHeight="1">
      <c r="A18" s="16" t="str">
        <f>Productos!B23</f>
        <v>Proveedor 4</v>
      </c>
      <c r="B18" s="16" t="str">
        <f>Productos!C23</f>
        <v>Aquabona plastico 1,5</v>
      </c>
      <c r="C18" s="16" t="str">
        <f>Productos!E23</f>
        <v>Fardo (6ud)</v>
      </c>
      <c r="D18" s="19"/>
      <c r="E18" s="12"/>
    </row>
    <row r="19" ht="21.75" customHeight="1">
      <c r="A19" s="16" t="str">
        <f>Productos!B24</f>
        <v>Proveedor 4</v>
      </c>
      <c r="B19" s="16" t="str">
        <f>Productos!C24</f>
        <v>Aquabona con gas cristal 0,5</v>
      </c>
      <c r="C19" s="16" t="str">
        <f>Productos!E24</f>
        <v>Caja (12ud)</v>
      </c>
      <c r="D19" s="19"/>
      <c r="E19" s="12"/>
    </row>
    <row r="20" ht="21.75" customHeight="1">
      <c r="A20" s="16" t="str">
        <f>Productos!B25</f>
        <v>Proveedor 4</v>
      </c>
      <c r="B20" s="16" t="str">
        <f>Productos!C25</f>
        <v>Aquarius limon 0,33cl</v>
      </c>
      <c r="C20" s="16" t="str">
        <f>Productos!E25</f>
        <v>Caja (24Ud)</v>
      </c>
      <c r="D20" s="19"/>
      <c r="E20" s="12"/>
    </row>
    <row r="21" ht="21.75" customHeight="1">
      <c r="A21" s="16" t="str">
        <f>Productos!B26</f>
        <v>Proveedor 5</v>
      </c>
      <c r="B21" s="16" t="str">
        <f>Productos!C26</f>
        <v>Estrella galicia 0,33cl </v>
      </c>
      <c r="C21" s="16" t="str">
        <f>Productos!E26</f>
        <v>Caja (20ud)</v>
      </c>
      <c r="D21" s="19"/>
      <c r="E21" s="12"/>
    </row>
    <row r="22" ht="21.75" customHeight="1">
      <c r="A22" s="16" t="str">
        <f>Productos!B27</f>
        <v>Proveedor 5</v>
      </c>
      <c r="B22" s="16" t="str">
        <f>Productos!C27</f>
        <v>Estrella galicia 00 0,33cl </v>
      </c>
      <c r="C22" s="16" t="str">
        <f>Productos!E27</f>
        <v>Caja (20ud)</v>
      </c>
      <c r="D22" s="19"/>
      <c r="E22" s="12"/>
    </row>
    <row r="23" ht="21.75" customHeight="1">
      <c r="A23" s="16" t="str">
        <f>Productos!B28</f>
        <v>Proveedor 5</v>
      </c>
      <c r="B23" s="16" t="str">
        <f>Productos!C28</f>
        <v>Mahou 0,33cl</v>
      </c>
      <c r="C23" s="16" t="str">
        <f>Productos!E28</f>
        <v>Caja (20ud)</v>
      </c>
      <c r="D23" s="19"/>
      <c r="E23" s="12"/>
    </row>
    <row r="24" ht="21.75" customHeight="1">
      <c r="A24" s="16" t="str">
        <f>Productos!B29</f>
        <v>Proveedor 5</v>
      </c>
      <c r="B24" s="16" t="str">
        <f>Productos!C29</f>
        <v>Mahou 00 0,33cl</v>
      </c>
      <c r="C24" s="16" t="str">
        <f>Productos!E29</f>
        <v>Caja (20ud)</v>
      </c>
      <c r="D24" s="19"/>
      <c r="E24" s="12"/>
    </row>
    <row r="25" ht="21.75" customHeight="1">
      <c r="A25" s="16" t="str">
        <f>Productos!B30</f>
        <v>Proveedor 5</v>
      </c>
      <c r="B25" s="16" t="str">
        <f>Productos!C30</f>
        <v>Barril mahou 5 estellas</v>
      </c>
      <c r="C25" s="16" t="str">
        <f>Productos!E30</f>
        <v>Barril 30L</v>
      </c>
      <c r="D25" s="19"/>
      <c r="E25" s="12"/>
    </row>
    <row r="26" ht="21.75" customHeight="1">
      <c r="A26" s="16" t="str">
        <f>Productos!B31</f>
        <v/>
      </c>
      <c r="B26" s="16" t="str">
        <f>Productos!C31</f>
        <v/>
      </c>
      <c r="C26" s="16" t="str">
        <f>Productos!E31</f>
        <v/>
      </c>
      <c r="D26" s="19"/>
      <c r="E26" s="12"/>
    </row>
    <row r="27" ht="21.75" customHeight="1">
      <c r="A27" s="16" t="str">
        <f>Productos!B32</f>
        <v/>
      </c>
      <c r="B27" s="16" t="str">
        <f>Productos!C32</f>
        <v/>
      </c>
      <c r="C27" s="16" t="str">
        <f>Productos!E32</f>
        <v/>
      </c>
      <c r="D27" s="19"/>
      <c r="E27" s="12"/>
    </row>
    <row r="28" ht="21.75" customHeight="1">
      <c r="A28" s="16" t="str">
        <f>Productos!B33</f>
        <v/>
      </c>
      <c r="B28" s="16" t="str">
        <f>Productos!C33</f>
        <v/>
      </c>
      <c r="C28" s="16" t="str">
        <f>Productos!E33</f>
        <v/>
      </c>
      <c r="D28" s="19"/>
      <c r="E28" s="12"/>
    </row>
    <row r="29" ht="21.75" customHeight="1">
      <c r="A29" s="16" t="str">
        <f>Productos!B34</f>
        <v/>
      </c>
      <c r="B29" s="16" t="str">
        <f>Productos!C34</f>
        <v/>
      </c>
      <c r="C29" s="16" t="str">
        <f>Productos!E34</f>
        <v/>
      </c>
      <c r="D29" s="19"/>
      <c r="E29" s="12"/>
    </row>
    <row r="30" ht="21.75" customHeight="1">
      <c r="A30" s="16" t="str">
        <f>Productos!B35</f>
        <v/>
      </c>
      <c r="B30" s="16" t="str">
        <f>Productos!C35</f>
        <v/>
      </c>
      <c r="C30" s="16" t="str">
        <f>Productos!E35</f>
        <v/>
      </c>
      <c r="D30" s="19"/>
      <c r="E30" s="12"/>
    </row>
    <row r="31" ht="21.75" customHeight="1">
      <c r="A31" s="16" t="str">
        <f>Productos!B36</f>
        <v/>
      </c>
      <c r="B31" s="16" t="str">
        <f>Productos!C36</f>
        <v/>
      </c>
      <c r="C31" s="16" t="str">
        <f>Productos!E36</f>
        <v/>
      </c>
      <c r="D31" s="19"/>
      <c r="E31" s="12"/>
    </row>
    <row r="32" ht="21.75" customHeight="1">
      <c r="A32" s="16" t="str">
        <f>Productos!B37</f>
        <v/>
      </c>
      <c r="B32" s="16" t="str">
        <f>Productos!C37</f>
        <v/>
      </c>
      <c r="C32" s="16" t="str">
        <f>Productos!E37</f>
        <v/>
      </c>
      <c r="D32" s="19"/>
      <c r="E32" s="12"/>
    </row>
    <row r="33" ht="21.75" customHeight="1">
      <c r="A33" s="16" t="str">
        <f>Productos!B38</f>
        <v/>
      </c>
      <c r="B33" s="16" t="str">
        <f>Productos!C38</f>
        <v/>
      </c>
      <c r="C33" s="16" t="str">
        <f>Productos!E38</f>
        <v/>
      </c>
      <c r="D33" s="19"/>
      <c r="E33" s="12"/>
    </row>
    <row r="34" ht="21.75" customHeight="1">
      <c r="A34" s="16" t="str">
        <f>Productos!B39</f>
        <v/>
      </c>
      <c r="B34" s="16" t="str">
        <f>Productos!C39</f>
        <v/>
      </c>
      <c r="C34" s="16" t="str">
        <f>Productos!E39</f>
        <v/>
      </c>
      <c r="D34" s="19"/>
      <c r="E34" s="12"/>
    </row>
    <row r="35" ht="21.75" customHeight="1">
      <c r="A35" s="16" t="str">
        <f>Productos!B40</f>
        <v/>
      </c>
      <c r="B35" s="16" t="str">
        <f>Productos!C40</f>
        <v/>
      </c>
      <c r="C35" s="16" t="str">
        <f>Productos!E40</f>
        <v/>
      </c>
      <c r="D35" s="19"/>
      <c r="E35" s="12"/>
    </row>
    <row r="36" ht="21.75" customHeight="1">
      <c r="A36" s="16" t="str">
        <f>Productos!B41</f>
        <v/>
      </c>
      <c r="B36" s="16" t="str">
        <f>Productos!C41</f>
        <v/>
      </c>
      <c r="C36" s="16" t="str">
        <f>Productos!E41</f>
        <v/>
      </c>
      <c r="D36" s="19"/>
      <c r="E36" s="12"/>
    </row>
    <row r="37" ht="21.75" customHeight="1">
      <c r="A37" s="16" t="str">
        <f>Productos!B42</f>
        <v/>
      </c>
      <c r="B37" s="16" t="str">
        <f>Productos!C42</f>
        <v/>
      </c>
      <c r="C37" s="16" t="str">
        <f>Productos!E42</f>
        <v/>
      </c>
      <c r="D37" s="19"/>
      <c r="E37" s="12"/>
    </row>
    <row r="38" ht="21.75" customHeight="1">
      <c r="A38" s="16" t="str">
        <f>Productos!B43</f>
        <v/>
      </c>
      <c r="B38" s="16" t="str">
        <f>Productos!C43</f>
        <v/>
      </c>
      <c r="C38" s="16" t="str">
        <f>Productos!E43</f>
        <v/>
      </c>
      <c r="D38" s="19"/>
      <c r="E38" s="12"/>
    </row>
    <row r="39" ht="21.75" customHeight="1">
      <c r="A39" s="16" t="str">
        <f>Productos!B44</f>
        <v/>
      </c>
      <c r="B39" s="16" t="str">
        <f>Productos!C44</f>
        <v/>
      </c>
      <c r="C39" s="16" t="str">
        <f>Productos!E44</f>
        <v/>
      </c>
      <c r="D39" s="19"/>
      <c r="E39" s="12"/>
    </row>
    <row r="40" ht="21.75" customHeight="1">
      <c r="A40" s="16" t="str">
        <f>Productos!B45</f>
        <v/>
      </c>
      <c r="B40" s="16" t="str">
        <f>Productos!C45</f>
        <v/>
      </c>
      <c r="C40" s="16" t="str">
        <f>Productos!E45</f>
        <v/>
      </c>
      <c r="D40" s="19"/>
      <c r="E40" s="12"/>
    </row>
    <row r="41" ht="21.75" customHeight="1">
      <c r="A41" s="16" t="str">
        <f>Productos!B46</f>
        <v/>
      </c>
      <c r="B41" s="16" t="str">
        <f>Productos!C46</f>
        <v/>
      </c>
      <c r="C41" s="16" t="str">
        <f>Productos!E46</f>
        <v/>
      </c>
      <c r="D41" s="19"/>
      <c r="E41" s="12"/>
    </row>
    <row r="42" ht="21.75" customHeight="1">
      <c r="A42" s="16" t="str">
        <f>Productos!B47</f>
        <v/>
      </c>
      <c r="B42" s="16" t="str">
        <f>Productos!C47</f>
        <v/>
      </c>
      <c r="C42" s="16" t="str">
        <f>Productos!E47</f>
        <v/>
      </c>
      <c r="D42" s="19"/>
      <c r="E42" s="12"/>
    </row>
    <row r="43" ht="21.75" customHeight="1">
      <c r="A43" s="16" t="str">
        <f>Productos!B48</f>
        <v/>
      </c>
      <c r="B43" s="16" t="str">
        <f>Productos!C48</f>
        <v/>
      </c>
      <c r="C43" s="16" t="str">
        <f>Productos!E48</f>
        <v/>
      </c>
      <c r="D43" s="19"/>
      <c r="E43" s="12"/>
    </row>
    <row r="44" ht="21.75" customHeight="1">
      <c r="A44" s="16" t="str">
        <f>Productos!B49</f>
        <v/>
      </c>
      <c r="B44" s="16" t="str">
        <f>Productos!C49</f>
        <v/>
      </c>
      <c r="C44" s="16" t="str">
        <f>Productos!E49</f>
        <v/>
      </c>
      <c r="D44" s="19"/>
      <c r="E44" s="12"/>
    </row>
    <row r="45" ht="21.75" customHeight="1">
      <c r="A45" s="16" t="str">
        <f>Productos!B50</f>
        <v/>
      </c>
      <c r="B45" s="16" t="str">
        <f>Productos!C50</f>
        <v/>
      </c>
      <c r="C45" s="16" t="str">
        <f>Productos!E50</f>
        <v/>
      </c>
      <c r="D45" s="19"/>
      <c r="E45" s="12"/>
    </row>
    <row r="46" ht="21.75" customHeight="1">
      <c r="A46" s="16" t="str">
        <f>Productos!B51</f>
        <v/>
      </c>
      <c r="B46" s="16" t="str">
        <f>Productos!C51</f>
        <v/>
      </c>
      <c r="C46" s="16" t="str">
        <f>Productos!E51</f>
        <v/>
      </c>
      <c r="D46" s="19"/>
      <c r="E46" s="12"/>
    </row>
    <row r="47" ht="21.75" customHeight="1">
      <c r="A47" s="16" t="str">
        <f>Productos!B52</f>
        <v/>
      </c>
      <c r="B47" s="16" t="str">
        <f>Productos!C52</f>
        <v/>
      </c>
      <c r="C47" s="16" t="str">
        <f>Productos!E52</f>
        <v/>
      </c>
      <c r="D47" s="19"/>
      <c r="E47" s="12"/>
    </row>
    <row r="48" ht="21.75" customHeight="1">
      <c r="A48" s="16" t="str">
        <f>Productos!B53</f>
        <v/>
      </c>
      <c r="B48" s="16" t="str">
        <f>Productos!C53</f>
        <v/>
      </c>
      <c r="C48" s="16" t="str">
        <f>Productos!E53</f>
        <v/>
      </c>
      <c r="D48" s="19"/>
      <c r="E48" s="12"/>
    </row>
    <row r="49" ht="21.75" customHeight="1">
      <c r="A49" s="16" t="str">
        <f>Productos!B54</f>
        <v/>
      </c>
      <c r="B49" s="16" t="str">
        <f>Productos!C54</f>
        <v/>
      </c>
      <c r="C49" s="16" t="str">
        <f>Productos!E54</f>
        <v/>
      </c>
      <c r="D49" s="19"/>
      <c r="E49" s="12"/>
    </row>
    <row r="50" ht="21.75" customHeight="1">
      <c r="A50" s="16" t="str">
        <f>Productos!B55</f>
        <v/>
      </c>
      <c r="B50" s="16" t="str">
        <f>Productos!C55</f>
        <v/>
      </c>
      <c r="C50" s="16" t="str">
        <f>Productos!E55</f>
        <v/>
      </c>
      <c r="D50" s="19"/>
      <c r="E50" s="12"/>
    </row>
    <row r="51" ht="21.75" customHeight="1">
      <c r="A51" s="16" t="str">
        <f>Productos!B56</f>
        <v/>
      </c>
      <c r="B51" s="16" t="str">
        <f>Productos!C56</f>
        <v/>
      </c>
      <c r="C51" s="16" t="str">
        <f>Productos!E56</f>
        <v/>
      </c>
      <c r="D51" s="19"/>
      <c r="E51" s="12"/>
    </row>
    <row r="52" ht="21.75" customHeight="1">
      <c r="A52" s="16" t="str">
        <f>Productos!B57</f>
        <v/>
      </c>
      <c r="B52" s="16" t="str">
        <f>Productos!C57</f>
        <v/>
      </c>
      <c r="C52" s="16" t="str">
        <f>Productos!E57</f>
        <v/>
      </c>
      <c r="D52" s="19"/>
      <c r="E52" s="12"/>
    </row>
    <row r="53" ht="21.75" customHeight="1">
      <c r="A53" s="16" t="str">
        <f>Productos!B58</f>
        <v/>
      </c>
      <c r="B53" s="16" t="str">
        <f>Productos!C58</f>
        <v/>
      </c>
      <c r="C53" s="16" t="str">
        <f>Productos!E58</f>
        <v/>
      </c>
      <c r="D53" s="19"/>
      <c r="E53" s="12"/>
    </row>
    <row r="54" ht="21.75" customHeight="1">
      <c r="A54" s="16" t="str">
        <f>Productos!B59</f>
        <v/>
      </c>
      <c r="B54" s="16" t="str">
        <f>Productos!C59</f>
        <v/>
      </c>
      <c r="C54" s="16" t="str">
        <f>Productos!E59</f>
        <v/>
      </c>
      <c r="D54" s="19"/>
      <c r="E54" s="12"/>
    </row>
    <row r="55" ht="21.75" customHeight="1">
      <c r="A55" s="16" t="str">
        <f>Productos!B60</f>
        <v/>
      </c>
      <c r="B55" s="16" t="str">
        <f>Productos!C60</f>
        <v/>
      </c>
      <c r="C55" s="16" t="str">
        <f>Productos!E60</f>
        <v/>
      </c>
      <c r="D55" s="19"/>
      <c r="E55" s="12"/>
    </row>
    <row r="56" ht="21.75" customHeight="1">
      <c r="A56" s="16" t="str">
        <f>Productos!B61</f>
        <v/>
      </c>
      <c r="B56" s="16" t="str">
        <f>Productos!C61</f>
        <v/>
      </c>
      <c r="C56" s="16" t="str">
        <f>Productos!E61</f>
        <v/>
      </c>
      <c r="D56" s="19"/>
      <c r="E56" s="12"/>
    </row>
    <row r="57" ht="21.75" customHeight="1">
      <c r="A57" s="16" t="str">
        <f>Productos!B62</f>
        <v/>
      </c>
      <c r="B57" s="16" t="str">
        <f>Productos!C62</f>
        <v/>
      </c>
      <c r="C57" s="16" t="str">
        <f>Productos!E62</f>
        <v/>
      </c>
      <c r="D57" s="19"/>
      <c r="E57" s="12"/>
    </row>
    <row r="58" ht="21.75" customHeight="1">
      <c r="A58" s="16" t="str">
        <f>Productos!B63</f>
        <v/>
      </c>
      <c r="B58" s="16" t="str">
        <f>Productos!C63</f>
        <v/>
      </c>
      <c r="C58" s="16" t="str">
        <f>Productos!E63</f>
        <v/>
      </c>
      <c r="D58" s="19"/>
      <c r="E58" s="12"/>
    </row>
    <row r="59" ht="21.75" customHeight="1">
      <c r="A59" s="16" t="str">
        <f>Productos!B64</f>
        <v/>
      </c>
      <c r="B59" s="16" t="str">
        <f>Productos!C64</f>
        <v/>
      </c>
      <c r="C59" s="16" t="str">
        <f>Productos!E64</f>
        <v/>
      </c>
      <c r="D59" s="19"/>
      <c r="E59" s="12"/>
    </row>
    <row r="60" ht="21.75" customHeight="1">
      <c r="A60" s="16" t="str">
        <f>Productos!B65</f>
        <v/>
      </c>
      <c r="B60" s="16" t="str">
        <f>Productos!C65</f>
        <v/>
      </c>
      <c r="C60" s="16" t="str">
        <f>Productos!E65</f>
        <v/>
      </c>
      <c r="D60" s="19"/>
      <c r="E60" s="12"/>
    </row>
    <row r="61" ht="21.75" customHeight="1">
      <c r="A61" s="16" t="str">
        <f>Productos!B66</f>
        <v/>
      </c>
      <c r="B61" s="16" t="str">
        <f>Productos!C66</f>
        <v/>
      </c>
      <c r="C61" s="16" t="str">
        <f>Productos!E66</f>
        <v/>
      </c>
      <c r="D61" s="19"/>
      <c r="E61" s="12"/>
    </row>
    <row r="62" ht="21.75" customHeight="1">
      <c r="A62" s="16" t="str">
        <f>Productos!B67</f>
        <v/>
      </c>
      <c r="B62" s="16" t="str">
        <f>Productos!C67</f>
        <v/>
      </c>
      <c r="C62" s="16" t="str">
        <f>Productos!E67</f>
        <v/>
      </c>
      <c r="D62" s="19"/>
      <c r="E62" s="12"/>
    </row>
    <row r="63" ht="21.75" customHeight="1">
      <c r="A63" s="16" t="str">
        <f>Productos!B68</f>
        <v/>
      </c>
      <c r="B63" s="16" t="str">
        <f>Productos!C68</f>
        <v/>
      </c>
      <c r="C63" s="16" t="str">
        <f>Productos!E68</f>
        <v/>
      </c>
      <c r="D63" s="19"/>
      <c r="E63" s="12"/>
    </row>
    <row r="64" ht="21.75" customHeight="1">
      <c r="A64" s="16" t="str">
        <f>Productos!B69</f>
        <v/>
      </c>
      <c r="B64" s="16" t="str">
        <f>Productos!C69</f>
        <v/>
      </c>
      <c r="C64" s="16" t="str">
        <f>Productos!E69</f>
        <v/>
      </c>
      <c r="D64" s="19"/>
      <c r="E64" s="12"/>
    </row>
    <row r="65" ht="21.75" customHeight="1">
      <c r="A65" s="16" t="str">
        <f>Productos!B70</f>
        <v/>
      </c>
      <c r="B65" s="16" t="str">
        <f>Productos!C70</f>
        <v/>
      </c>
      <c r="C65" s="16" t="str">
        <f>Productos!E70</f>
        <v/>
      </c>
      <c r="D65" s="19"/>
      <c r="E65" s="12"/>
    </row>
    <row r="66" ht="21.75" customHeight="1">
      <c r="A66" s="16" t="str">
        <f>Productos!B71</f>
        <v/>
      </c>
      <c r="B66" s="16" t="str">
        <f>Productos!C71</f>
        <v/>
      </c>
      <c r="C66" s="16" t="str">
        <f>Productos!E71</f>
        <v/>
      </c>
      <c r="D66" s="19"/>
      <c r="E66" s="12"/>
    </row>
    <row r="67" ht="21.75" customHeight="1">
      <c r="A67" s="16" t="str">
        <f>Productos!B72</f>
        <v/>
      </c>
      <c r="B67" s="16" t="str">
        <f>Productos!C72</f>
        <v/>
      </c>
      <c r="C67" s="16" t="str">
        <f>Productos!E72</f>
        <v/>
      </c>
      <c r="D67" s="19"/>
      <c r="E67" s="12"/>
    </row>
    <row r="68" ht="21.75" customHeight="1">
      <c r="A68" s="16" t="str">
        <f>Productos!B73</f>
        <v/>
      </c>
      <c r="B68" s="16" t="str">
        <f>Productos!C73</f>
        <v/>
      </c>
      <c r="C68" s="16" t="str">
        <f>Productos!E73</f>
        <v/>
      </c>
      <c r="D68" s="19"/>
      <c r="E68" s="12"/>
    </row>
    <row r="69" ht="21.75" customHeight="1">
      <c r="A69" s="16" t="str">
        <f>Productos!B74</f>
        <v/>
      </c>
      <c r="B69" s="16" t="str">
        <f>Productos!C74</f>
        <v/>
      </c>
      <c r="C69" s="16" t="str">
        <f>Productos!E74</f>
        <v/>
      </c>
      <c r="D69" s="19"/>
      <c r="E69" s="12"/>
    </row>
    <row r="70" ht="21.75" customHeight="1">
      <c r="A70" s="16" t="str">
        <f>Productos!B75</f>
        <v/>
      </c>
      <c r="B70" s="16" t="str">
        <f>Productos!C75</f>
        <v/>
      </c>
      <c r="C70" s="16" t="str">
        <f>Productos!E75</f>
        <v/>
      </c>
      <c r="D70" s="19"/>
      <c r="E70" s="12"/>
    </row>
    <row r="71" ht="21.75" customHeight="1">
      <c r="A71" s="16" t="str">
        <f>Productos!B76</f>
        <v/>
      </c>
      <c r="B71" s="16" t="str">
        <f>Productos!C76</f>
        <v/>
      </c>
      <c r="C71" s="16" t="str">
        <f>Productos!E76</f>
        <v/>
      </c>
      <c r="D71" s="19"/>
      <c r="E71" s="12"/>
    </row>
    <row r="72" ht="21.75" customHeight="1">
      <c r="A72" s="16" t="str">
        <f>Productos!B77</f>
        <v/>
      </c>
      <c r="B72" s="16" t="str">
        <f>Productos!C77</f>
        <v/>
      </c>
      <c r="C72" s="16" t="str">
        <f>Productos!E77</f>
        <v/>
      </c>
      <c r="D72" s="19"/>
      <c r="E72" s="12"/>
    </row>
    <row r="73" ht="21.75" customHeight="1">
      <c r="A73" s="16" t="str">
        <f>Productos!B78</f>
        <v/>
      </c>
      <c r="B73" s="16" t="str">
        <f>Productos!C78</f>
        <v/>
      </c>
      <c r="C73" s="16" t="str">
        <f>Productos!E78</f>
        <v/>
      </c>
      <c r="D73" s="19"/>
      <c r="E73" s="12"/>
    </row>
    <row r="74" ht="21.75" customHeight="1">
      <c r="A74" s="16" t="str">
        <f>Productos!B79</f>
        <v/>
      </c>
      <c r="B74" s="16" t="str">
        <f>Productos!C79</f>
        <v/>
      </c>
      <c r="C74" s="16" t="str">
        <f>Productos!E79</f>
        <v/>
      </c>
      <c r="D74" s="19"/>
      <c r="E74" s="12"/>
    </row>
    <row r="75" ht="21.75" customHeight="1">
      <c r="A75" s="16" t="str">
        <f>Productos!B80</f>
        <v/>
      </c>
      <c r="B75" s="16" t="str">
        <f>Productos!C80</f>
        <v/>
      </c>
      <c r="C75" s="16" t="str">
        <f>Productos!E80</f>
        <v/>
      </c>
      <c r="D75" s="19"/>
      <c r="E75" s="12"/>
    </row>
    <row r="76" ht="21.75" customHeight="1">
      <c r="A76" s="16" t="str">
        <f>Productos!B81</f>
        <v/>
      </c>
      <c r="B76" s="16" t="str">
        <f>Productos!C81</f>
        <v/>
      </c>
      <c r="C76" s="16" t="str">
        <f>Productos!E81</f>
        <v/>
      </c>
      <c r="D76" s="19"/>
      <c r="E76" s="12"/>
    </row>
    <row r="77" ht="21.75" customHeight="1">
      <c r="A77" s="16" t="str">
        <f>Productos!B82</f>
        <v/>
      </c>
      <c r="B77" s="16" t="str">
        <f>Productos!C82</f>
        <v/>
      </c>
      <c r="C77" s="16" t="str">
        <f>Productos!E82</f>
        <v/>
      </c>
      <c r="D77" s="19"/>
      <c r="E77" s="12"/>
    </row>
    <row r="78" ht="21.75" customHeight="1">
      <c r="A78" s="16" t="str">
        <f>Productos!B83</f>
        <v/>
      </c>
      <c r="B78" s="16" t="str">
        <f>Productos!C83</f>
        <v/>
      </c>
      <c r="C78" s="16" t="str">
        <f>Productos!E83</f>
        <v/>
      </c>
      <c r="D78" s="19"/>
      <c r="E78" s="12"/>
    </row>
    <row r="79" ht="21.75" customHeight="1">
      <c r="A79" s="16" t="str">
        <f>Productos!B84</f>
        <v/>
      </c>
      <c r="B79" s="16" t="str">
        <f>Productos!C84</f>
        <v/>
      </c>
      <c r="C79" s="16" t="str">
        <f>Productos!E84</f>
        <v/>
      </c>
      <c r="D79" s="19"/>
      <c r="E79" s="12"/>
    </row>
    <row r="80" ht="21.75" customHeight="1">
      <c r="A80" s="16" t="str">
        <f>Productos!B85</f>
        <v/>
      </c>
      <c r="B80" s="16" t="str">
        <f>Productos!C85</f>
        <v/>
      </c>
      <c r="C80" s="16" t="str">
        <f>Productos!E85</f>
        <v/>
      </c>
      <c r="D80" s="19"/>
      <c r="E80" s="12"/>
    </row>
    <row r="81" ht="21.75" customHeight="1">
      <c r="A81" s="16" t="str">
        <f>Productos!B86</f>
        <v/>
      </c>
      <c r="B81" s="16" t="str">
        <f>Productos!C86</f>
        <v/>
      </c>
      <c r="C81" s="16" t="str">
        <f>Productos!E86</f>
        <v/>
      </c>
      <c r="D81" s="19"/>
      <c r="E81" s="12"/>
    </row>
    <row r="82" ht="21.75" customHeight="1">
      <c r="A82" s="16" t="str">
        <f>Productos!B87</f>
        <v/>
      </c>
      <c r="B82" s="16" t="str">
        <f>Productos!C87</f>
        <v/>
      </c>
      <c r="C82" s="16" t="str">
        <f>Productos!E87</f>
        <v/>
      </c>
      <c r="D82" s="19"/>
      <c r="E82" s="12"/>
    </row>
    <row r="83" ht="21.75" customHeight="1">
      <c r="A83" s="16" t="str">
        <f>Productos!B88</f>
        <v/>
      </c>
      <c r="B83" s="16" t="str">
        <f>Productos!C88</f>
        <v/>
      </c>
      <c r="C83" s="16" t="str">
        <f>Productos!E88</f>
        <v/>
      </c>
      <c r="D83" s="19"/>
      <c r="E83" s="12"/>
    </row>
    <row r="84" ht="21.75" customHeight="1">
      <c r="A84" s="16" t="str">
        <f>Productos!B89</f>
        <v/>
      </c>
      <c r="B84" s="16" t="str">
        <f>Productos!C89</f>
        <v/>
      </c>
      <c r="C84" s="16" t="str">
        <f>Productos!E89</f>
        <v/>
      </c>
      <c r="D84" s="19"/>
      <c r="E84" s="12"/>
    </row>
    <row r="85" ht="21.75" customHeight="1">
      <c r="A85" s="16" t="str">
        <f>Productos!B90</f>
        <v/>
      </c>
      <c r="B85" s="16" t="str">
        <f>Productos!C90</f>
        <v/>
      </c>
      <c r="C85" s="16" t="str">
        <f>Productos!E90</f>
        <v/>
      </c>
      <c r="D85" s="19"/>
      <c r="E85" s="12"/>
    </row>
    <row r="86" ht="21.75" customHeight="1">
      <c r="A86" s="16" t="str">
        <f>Productos!B91</f>
        <v/>
      </c>
      <c r="B86" s="16" t="str">
        <f>Productos!C91</f>
        <v/>
      </c>
      <c r="C86" s="16" t="str">
        <f>Productos!E91</f>
        <v/>
      </c>
      <c r="D86" s="19"/>
      <c r="E86" s="12"/>
    </row>
    <row r="87" ht="21.75" customHeight="1">
      <c r="A87" s="16" t="str">
        <f>Productos!B92</f>
        <v/>
      </c>
      <c r="B87" s="16" t="str">
        <f>Productos!C92</f>
        <v/>
      </c>
      <c r="C87" s="16" t="str">
        <f>Productos!E92</f>
        <v/>
      </c>
      <c r="D87" s="19"/>
      <c r="E87" s="12"/>
    </row>
    <row r="88" ht="21.75" customHeight="1">
      <c r="A88" s="16" t="str">
        <f>Productos!B93</f>
        <v/>
      </c>
      <c r="B88" s="16" t="str">
        <f>Productos!C93</f>
        <v/>
      </c>
      <c r="C88" s="16" t="str">
        <f>Productos!E93</f>
        <v/>
      </c>
      <c r="D88" s="19"/>
      <c r="E88" s="12"/>
    </row>
    <row r="89" ht="21.75" customHeight="1">
      <c r="A89" s="16" t="str">
        <f>Productos!B94</f>
        <v/>
      </c>
      <c r="B89" s="16" t="str">
        <f>Productos!C94</f>
        <v/>
      </c>
      <c r="C89" s="16" t="str">
        <f>Productos!E94</f>
        <v/>
      </c>
      <c r="D89" s="19"/>
      <c r="E89" s="12"/>
    </row>
    <row r="90" ht="21.75" customHeight="1">
      <c r="A90" s="16" t="str">
        <f>Productos!B95</f>
        <v/>
      </c>
      <c r="B90" s="16" t="str">
        <f>Productos!C95</f>
        <v/>
      </c>
      <c r="C90" s="16" t="str">
        <f>Productos!E95</f>
        <v/>
      </c>
      <c r="D90" s="19"/>
      <c r="E90" s="12"/>
    </row>
    <row r="91" ht="21.75" customHeight="1">
      <c r="A91" s="16" t="str">
        <f>Productos!B96</f>
        <v/>
      </c>
      <c r="B91" s="16" t="str">
        <f>Productos!C96</f>
        <v/>
      </c>
      <c r="C91" s="16" t="str">
        <f>Productos!E96</f>
        <v/>
      </c>
      <c r="D91" s="19"/>
      <c r="E91" s="12"/>
    </row>
    <row r="92" ht="21.75" customHeight="1">
      <c r="A92" s="16" t="str">
        <f>Productos!B97</f>
        <v/>
      </c>
      <c r="B92" s="16" t="str">
        <f>Productos!C97</f>
        <v/>
      </c>
      <c r="C92" s="16" t="str">
        <f>Productos!E97</f>
        <v/>
      </c>
      <c r="D92" s="19"/>
      <c r="E92" s="12"/>
    </row>
    <row r="93" ht="21.75" customHeight="1">
      <c r="A93" s="16" t="str">
        <f>Productos!B98</f>
        <v/>
      </c>
      <c r="B93" s="16" t="str">
        <f>Productos!C98</f>
        <v/>
      </c>
      <c r="C93" s="16" t="str">
        <f>Productos!E98</f>
        <v/>
      </c>
      <c r="D93" s="19"/>
      <c r="E93" s="12"/>
    </row>
    <row r="94" ht="21.75" customHeight="1">
      <c r="A94" s="16" t="str">
        <f>Productos!B99</f>
        <v/>
      </c>
      <c r="B94" s="16" t="str">
        <f>Productos!C99</f>
        <v/>
      </c>
      <c r="C94" s="16" t="str">
        <f>Productos!E99</f>
        <v/>
      </c>
      <c r="D94" s="19"/>
      <c r="E94" s="12"/>
    </row>
    <row r="95" ht="21.75" customHeight="1">
      <c r="A95" s="16" t="str">
        <f>Productos!B100</f>
        <v/>
      </c>
      <c r="B95" s="16" t="str">
        <f>Productos!C100</f>
        <v/>
      </c>
      <c r="C95" s="16" t="str">
        <f>Productos!E100</f>
        <v/>
      </c>
      <c r="D95" s="19"/>
      <c r="E95" s="12"/>
    </row>
    <row r="96" ht="21.75" customHeight="1">
      <c r="A96" s="16" t="str">
        <f>Productos!B101</f>
        <v/>
      </c>
      <c r="B96" s="16" t="str">
        <f>Productos!C101</f>
        <v/>
      </c>
      <c r="C96" s="16" t="str">
        <f>Productos!E101</f>
        <v/>
      </c>
      <c r="D96" s="19"/>
      <c r="E96" s="12"/>
    </row>
    <row r="97" ht="21.75" customHeight="1">
      <c r="A97" s="16" t="str">
        <f>Productos!B102</f>
        <v/>
      </c>
      <c r="B97" s="16" t="str">
        <f>Productos!C102</f>
        <v/>
      </c>
      <c r="C97" s="16" t="str">
        <f>Productos!E102</f>
        <v/>
      </c>
      <c r="D97" s="19"/>
      <c r="E97" s="12"/>
    </row>
    <row r="98" ht="21.75" customHeight="1">
      <c r="A98" s="16" t="str">
        <f>Productos!B103</f>
        <v/>
      </c>
      <c r="B98" s="16" t="str">
        <f>Productos!C103</f>
        <v/>
      </c>
      <c r="C98" s="16" t="str">
        <f>Productos!E103</f>
        <v/>
      </c>
      <c r="D98" s="19"/>
      <c r="E98" s="12"/>
    </row>
    <row r="99" ht="21.75" customHeight="1">
      <c r="A99" s="16" t="str">
        <f>Productos!B104</f>
        <v/>
      </c>
      <c r="B99" s="16" t="str">
        <f>Productos!C104</f>
        <v/>
      </c>
      <c r="C99" s="16" t="str">
        <f>Productos!E104</f>
        <v/>
      </c>
      <c r="D99" s="19"/>
      <c r="E99" s="12"/>
    </row>
    <row r="100" ht="21.75" customHeight="1">
      <c r="A100" s="16" t="str">
        <f>Productos!B105</f>
        <v/>
      </c>
      <c r="B100" s="16" t="str">
        <f>Productos!C105</f>
        <v/>
      </c>
      <c r="C100" s="16" t="str">
        <f>Productos!E105</f>
        <v/>
      </c>
      <c r="D100" s="19"/>
      <c r="E100" s="12"/>
    </row>
    <row r="101" ht="21.75" customHeight="1">
      <c r="A101" s="16" t="str">
        <f>Productos!B106</f>
        <v/>
      </c>
      <c r="B101" s="16" t="str">
        <f>Productos!C106</f>
        <v/>
      </c>
      <c r="C101" s="16" t="str">
        <f>Productos!E106</f>
        <v/>
      </c>
      <c r="D101" s="19"/>
      <c r="E101" s="12"/>
    </row>
    <row r="102" ht="21.75" customHeight="1">
      <c r="A102" s="16" t="str">
        <f>Productos!B107</f>
        <v/>
      </c>
      <c r="B102" s="16" t="str">
        <f>Productos!C107</f>
        <v/>
      </c>
      <c r="C102" s="16" t="str">
        <f>Productos!E107</f>
        <v/>
      </c>
      <c r="D102" s="19"/>
      <c r="E102" s="12"/>
    </row>
    <row r="103" ht="21.75" customHeight="1">
      <c r="A103" s="16" t="str">
        <f>Productos!B108</f>
        <v/>
      </c>
      <c r="B103" s="16" t="str">
        <f>Productos!C108</f>
        <v/>
      </c>
      <c r="C103" s="16" t="str">
        <f>Productos!E108</f>
        <v/>
      </c>
      <c r="D103" s="19"/>
      <c r="E103" s="12"/>
    </row>
    <row r="104" ht="21.75" customHeight="1">
      <c r="A104" s="16" t="str">
        <f>Productos!B109</f>
        <v/>
      </c>
      <c r="B104" s="16" t="str">
        <f>Productos!C109</f>
        <v/>
      </c>
      <c r="C104" s="16" t="str">
        <f>Productos!E109</f>
        <v/>
      </c>
      <c r="D104" s="19"/>
      <c r="E104" s="12"/>
    </row>
    <row r="105" ht="21.75" customHeight="1">
      <c r="A105" s="16" t="str">
        <f>Productos!B110</f>
        <v/>
      </c>
      <c r="B105" s="16" t="str">
        <f>Productos!C110</f>
        <v/>
      </c>
      <c r="C105" s="16" t="str">
        <f>Productos!E110</f>
        <v/>
      </c>
      <c r="D105" s="19"/>
      <c r="E105" s="12"/>
    </row>
    <row r="106" ht="21.75" customHeight="1">
      <c r="A106" s="16" t="str">
        <f>Productos!B111</f>
        <v/>
      </c>
      <c r="B106" s="16" t="str">
        <f>Productos!C111</f>
        <v/>
      </c>
      <c r="C106" s="16" t="str">
        <f>Productos!E111</f>
        <v/>
      </c>
      <c r="D106" s="19"/>
      <c r="E106" s="12"/>
    </row>
    <row r="107" ht="21.75" customHeight="1">
      <c r="A107" s="16" t="str">
        <f>Productos!B112</f>
        <v/>
      </c>
      <c r="B107" s="16" t="str">
        <f>Productos!C112</f>
        <v/>
      </c>
      <c r="C107" s="16" t="str">
        <f>Productos!E112</f>
        <v/>
      </c>
      <c r="D107" s="19"/>
      <c r="E107" s="12"/>
    </row>
    <row r="108" ht="21.75" customHeight="1">
      <c r="A108" s="16" t="str">
        <f>Productos!B113</f>
        <v/>
      </c>
      <c r="B108" s="16" t="str">
        <f>Productos!C113</f>
        <v/>
      </c>
      <c r="C108" s="16" t="str">
        <f>Productos!E113</f>
        <v/>
      </c>
      <c r="D108" s="19"/>
      <c r="E108" s="12"/>
    </row>
    <row r="109" ht="21.75" customHeight="1">
      <c r="A109" s="16" t="str">
        <f>Productos!B114</f>
        <v/>
      </c>
      <c r="B109" s="16" t="str">
        <f>Productos!C114</f>
        <v/>
      </c>
      <c r="C109" s="16" t="str">
        <f>Productos!E114</f>
        <v/>
      </c>
      <c r="D109" s="19"/>
      <c r="E109" s="12"/>
    </row>
    <row r="110" ht="21.75" customHeight="1">
      <c r="A110" s="16" t="str">
        <f>Productos!B115</f>
        <v/>
      </c>
      <c r="B110" s="16" t="str">
        <f>Productos!C115</f>
        <v/>
      </c>
      <c r="C110" s="16" t="str">
        <f>Productos!E115</f>
        <v/>
      </c>
      <c r="D110" s="19"/>
      <c r="E110" s="12"/>
    </row>
    <row r="111" ht="21.75" customHeight="1">
      <c r="A111" s="16" t="str">
        <f>Productos!B116</f>
        <v/>
      </c>
      <c r="B111" s="16" t="str">
        <f>Productos!C116</f>
        <v/>
      </c>
      <c r="C111" s="16" t="str">
        <f>Productos!E116</f>
        <v/>
      </c>
      <c r="D111" s="19"/>
      <c r="E111" s="12"/>
    </row>
    <row r="112" ht="21.75" customHeight="1">
      <c r="A112" s="16" t="str">
        <f>Productos!B117</f>
        <v/>
      </c>
      <c r="B112" s="16" t="str">
        <f>Productos!C117</f>
        <v/>
      </c>
      <c r="C112" s="16" t="str">
        <f>Productos!E117</f>
        <v/>
      </c>
      <c r="D112" s="19"/>
      <c r="E112" s="12"/>
    </row>
    <row r="113" ht="21.75" customHeight="1">
      <c r="A113" s="16" t="str">
        <f>Productos!B118</f>
        <v/>
      </c>
      <c r="B113" s="16" t="str">
        <f>Productos!C118</f>
        <v/>
      </c>
      <c r="C113" s="16" t="str">
        <f>Productos!E118</f>
        <v/>
      </c>
      <c r="D113" s="19"/>
      <c r="E113" s="12"/>
    </row>
    <row r="114" ht="21.75" customHeight="1">
      <c r="A114" s="16" t="str">
        <f>Productos!B119</f>
        <v/>
      </c>
      <c r="B114" s="16" t="str">
        <f>Productos!C119</f>
        <v/>
      </c>
      <c r="C114" s="16" t="str">
        <f>Productos!E119</f>
        <v/>
      </c>
      <c r="D114" s="19"/>
      <c r="E114" s="12"/>
    </row>
    <row r="115" ht="21.75" customHeight="1">
      <c r="A115" s="16" t="str">
        <f>Productos!B120</f>
        <v/>
      </c>
      <c r="B115" s="16" t="str">
        <f>Productos!C120</f>
        <v/>
      </c>
      <c r="C115" s="16" t="str">
        <f>Productos!E120</f>
        <v/>
      </c>
      <c r="D115" s="19"/>
      <c r="E115" s="12"/>
    </row>
    <row r="116" ht="21.75" customHeight="1">
      <c r="A116" s="16" t="str">
        <f>Productos!B121</f>
        <v/>
      </c>
      <c r="B116" s="16" t="str">
        <f>Productos!C121</f>
        <v/>
      </c>
      <c r="C116" s="16" t="str">
        <f>Productos!E121</f>
        <v/>
      </c>
      <c r="D116" s="19"/>
      <c r="E116" s="12"/>
    </row>
    <row r="117" ht="21.75" customHeight="1">
      <c r="A117" s="16" t="str">
        <f>Productos!B122</f>
        <v/>
      </c>
      <c r="B117" s="16" t="str">
        <f>Productos!C122</f>
        <v/>
      </c>
      <c r="C117" s="16" t="str">
        <f>Productos!E122</f>
        <v/>
      </c>
      <c r="D117" s="19"/>
      <c r="E117" s="12"/>
    </row>
    <row r="118" ht="21.75" customHeight="1">
      <c r="A118" s="16" t="str">
        <f>Productos!B123</f>
        <v/>
      </c>
      <c r="B118" s="16" t="str">
        <f>Productos!C123</f>
        <v/>
      </c>
      <c r="C118" s="16" t="str">
        <f>Productos!E123</f>
        <v/>
      </c>
      <c r="D118" s="19"/>
      <c r="E118" s="12"/>
    </row>
    <row r="119" ht="21.75" customHeight="1">
      <c r="A119" s="16" t="str">
        <f>Productos!B124</f>
        <v/>
      </c>
      <c r="B119" s="16" t="str">
        <f>Productos!C124</f>
        <v/>
      </c>
      <c r="C119" s="16" t="str">
        <f>Productos!E124</f>
        <v/>
      </c>
      <c r="D119" s="19"/>
      <c r="E119" s="12"/>
    </row>
    <row r="120" ht="21.75" customHeight="1">
      <c r="A120" s="16" t="str">
        <f>Productos!B125</f>
        <v/>
      </c>
      <c r="B120" s="16" t="str">
        <f>Productos!C125</f>
        <v/>
      </c>
      <c r="C120" s="16" t="str">
        <f>Productos!E125</f>
        <v/>
      </c>
      <c r="D120" s="19"/>
      <c r="E120" s="12"/>
    </row>
    <row r="121" ht="21.75" customHeight="1">
      <c r="A121" s="16" t="str">
        <f>Productos!B126</f>
        <v/>
      </c>
      <c r="B121" s="16" t="str">
        <f>Productos!C126</f>
        <v/>
      </c>
      <c r="C121" s="16" t="str">
        <f>Productos!E126</f>
        <v/>
      </c>
      <c r="D121" s="19"/>
      <c r="E121" s="12"/>
    </row>
    <row r="122" ht="21.75" customHeight="1">
      <c r="A122" s="16" t="str">
        <f>Productos!B127</f>
        <v/>
      </c>
      <c r="B122" s="16" t="str">
        <f>Productos!C127</f>
        <v/>
      </c>
      <c r="C122" s="16" t="str">
        <f>Productos!E127</f>
        <v/>
      </c>
      <c r="D122" s="19"/>
      <c r="E122" s="12"/>
    </row>
    <row r="123" ht="21.75" customHeight="1">
      <c r="A123" s="16" t="str">
        <f>Productos!B128</f>
        <v/>
      </c>
      <c r="B123" s="16" t="str">
        <f>Productos!C128</f>
        <v/>
      </c>
      <c r="C123" s="16" t="str">
        <f>Productos!E128</f>
        <v/>
      </c>
      <c r="D123" s="19"/>
      <c r="E123" s="12"/>
    </row>
    <row r="124" ht="21.75" customHeight="1">
      <c r="A124" s="16" t="str">
        <f>Productos!B129</f>
        <v/>
      </c>
      <c r="B124" s="16" t="str">
        <f>Productos!C129</f>
        <v/>
      </c>
      <c r="C124" s="16" t="str">
        <f>Productos!E129</f>
        <v/>
      </c>
      <c r="D124" s="19"/>
      <c r="E124" s="12"/>
    </row>
    <row r="125" ht="21.75" customHeight="1">
      <c r="A125" s="16" t="str">
        <f>Productos!B130</f>
        <v/>
      </c>
      <c r="B125" s="16" t="str">
        <f>Productos!C130</f>
        <v/>
      </c>
      <c r="C125" s="16" t="str">
        <f>Productos!E130</f>
        <v/>
      </c>
      <c r="D125" s="19"/>
      <c r="E125" s="12"/>
    </row>
    <row r="126" ht="21.75" customHeight="1">
      <c r="A126" s="16" t="str">
        <f>Productos!B131</f>
        <v/>
      </c>
      <c r="B126" s="16" t="str">
        <f>Productos!C131</f>
        <v/>
      </c>
      <c r="C126" s="16" t="str">
        <f>Productos!E131</f>
        <v/>
      </c>
      <c r="D126" s="19"/>
      <c r="E126" s="12"/>
    </row>
    <row r="127" ht="21.75" customHeight="1">
      <c r="A127" s="16" t="str">
        <f>Productos!B132</f>
        <v/>
      </c>
      <c r="B127" s="16" t="str">
        <f>Productos!C132</f>
        <v/>
      </c>
      <c r="C127" s="16" t="str">
        <f>Productos!E132</f>
        <v/>
      </c>
      <c r="D127" s="19"/>
      <c r="E127" s="12"/>
    </row>
    <row r="128" ht="21.75" customHeight="1">
      <c r="A128" s="16" t="str">
        <f>Productos!B133</f>
        <v/>
      </c>
      <c r="B128" s="16" t="str">
        <f>Productos!C133</f>
        <v/>
      </c>
      <c r="C128" s="16" t="str">
        <f>Productos!E133</f>
        <v/>
      </c>
      <c r="D128" s="19"/>
      <c r="E128" s="12"/>
    </row>
    <row r="129" ht="21.75" customHeight="1">
      <c r="A129" s="16" t="str">
        <f>Productos!B134</f>
        <v/>
      </c>
      <c r="B129" s="16" t="str">
        <f>Productos!C134</f>
        <v/>
      </c>
      <c r="C129" s="16" t="str">
        <f>Productos!E134</f>
        <v/>
      </c>
      <c r="D129" s="19"/>
      <c r="E129" s="12"/>
    </row>
    <row r="130" ht="21.75" customHeight="1">
      <c r="A130" s="16" t="str">
        <f>Productos!B135</f>
        <v/>
      </c>
      <c r="B130" s="16" t="str">
        <f>Productos!C135</f>
        <v/>
      </c>
      <c r="C130" s="16" t="str">
        <f>Productos!E135</f>
        <v/>
      </c>
      <c r="D130" s="19"/>
      <c r="E130" s="12"/>
    </row>
    <row r="131" ht="21.75" customHeight="1">
      <c r="A131" s="16" t="str">
        <f>Productos!B136</f>
        <v/>
      </c>
      <c r="B131" s="16" t="str">
        <f>Productos!C136</f>
        <v/>
      </c>
      <c r="C131" s="16" t="str">
        <f>Productos!E136</f>
        <v/>
      </c>
      <c r="D131" s="19"/>
      <c r="E131" s="12"/>
    </row>
    <row r="132" ht="21.75" customHeight="1">
      <c r="A132" s="16" t="str">
        <f>Productos!B137</f>
        <v/>
      </c>
      <c r="B132" s="16" t="str">
        <f>Productos!C137</f>
        <v/>
      </c>
      <c r="C132" s="16" t="str">
        <f>Productos!E137</f>
        <v/>
      </c>
      <c r="D132" s="19"/>
      <c r="E132" s="12"/>
    </row>
    <row r="133" ht="21.75" customHeight="1">
      <c r="A133" s="16" t="str">
        <f>Productos!B138</f>
        <v/>
      </c>
      <c r="B133" s="16" t="str">
        <f>Productos!C138</f>
        <v/>
      </c>
      <c r="C133" s="16" t="str">
        <f>Productos!E138</f>
        <v/>
      </c>
      <c r="D133" s="19"/>
      <c r="E133" s="12"/>
    </row>
    <row r="134" ht="14.25" customHeight="1">
      <c r="A134" s="16" t="str">
        <f>Productos!B139</f>
        <v/>
      </c>
      <c r="B134" s="16" t="str">
        <f>Productos!C139</f>
        <v/>
      </c>
      <c r="C134" s="16" t="str">
        <f>Productos!E139</f>
        <v/>
      </c>
      <c r="D134" s="19"/>
      <c r="E134" s="12"/>
    </row>
    <row r="135" ht="14.25" customHeight="1">
      <c r="A135" s="16" t="str">
        <f>Productos!B140</f>
        <v/>
      </c>
      <c r="B135" s="16" t="str">
        <f>Productos!C140</f>
        <v/>
      </c>
      <c r="C135" s="16" t="str">
        <f>Productos!E140</f>
        <v/>
      </c>
      <c r="D135" s="19"/>
      <c r="E135" s="12"/>
    </row>
    <row r="136" ht="14.25" customHeight="1">
      <c r="A136" s="16" t="str">
        <f>Productos!B141</f>
        <v/>
      </c>
      <c r="B136" s="16" t="str">
        <f>Productos!C141</f>
        <v/>
      </c>
      <c r="C136" s="16" t="str">
        <f>Productos!E141</f>
        <v/>
      </c>
      <c r="D136" s="19"/>
      <c r="E136" s="12"/>
    </row>
    <row r="137" ht="14.25" customHeight="1">
      <c r="A137" s="16" t="str">
        <f>Productos!B142</f>
        <v/>
      </c>
      <c r="B137" s="16" t="str">
        <f>Productos!C142</f>
        <v/>
      </c>
      <c r="C137" s="16" t="str">
        <f>Productos!E142</f>
        <v/>
      </c>
      <c r="D137" s="19"/>
      <c r="E137" s="12"/>
    </row>
    <row r="138" ht="14.25" customHeight="1">
      <c r="A138" s="16" t="str">
        <f>Productos!B143</f>
        <v/>
      </c>
      <c r="B138" s="16" t="str">
        <f>Productos!C143</f>
        <v/>
      </c>
      <c r="C138" s="16" t="str">
        <f>Productos!E143</f>
        <v/>
      </c>
      <c r="D138" s="19"/>
      <c r="E138" s="12"/>
    </row>
    <row r="139" ht="14.25" customHeight="1">
      <c r="A139" s="16" t="str">
        <f>Productos!B144</f>
        <v/>
      </c>
      <c r="B139" s="16" t="str">
        <f>Productos!C144</f>
        <v/>
      </c>
      <c r="C139" s="16" t="str">
        <f>Productos!E144</f>
        <v/>
      </c>
      <c r="D139" s="19"/>
      <c r="E139" s="12"/>
    </row>
    <row r="140" ht="14.25" customHeight="1">
      <c r="A140" s="16" t="str">
        <f>Productos!B145</f>
        <v/>
      </c>
      <c r="B140" s="16" t="str">
        <f>Productos!C145</f>
        <v/>
      </c>
      <c r="C140" s="16" t="str">
        <f>Productos!E145</f>
        <v/>
      </c>
      <c r="D140" s="19"/>
      <c r="E140" s="12"/>
    </row>
    <row r="141" ht="14.25" customHeight="1">
      <c r="A141" s="16" t="str">
        <f>Productos!B146</f>
        <v/>
      </c>
      <c r="B141" s="16" t="str">
        <f>Productos!C146</f>
        <v/>
      </c>
      <c r="C141" s="16" t="str">
        <f>Productos!E146</f>
        <v/>
      </c>
      <c r="D141" s="19"/>
      <c r="E141" s="12"/>
    </row>
    <row r="142" ht="14.25" customHeight="1">
      <c r="A142" s="16" t="str">
        <f>Productos!B147</f>
        <v/>
      </c>
      <c r="B142" s="16" t="str">
        <f>Productos!C147</f>
        <v/>
      </c>
      <c r="C142" s="16" t="str">
        <f>Productos!E147</f>
        <v/>
      </c>
      <c r="D142" s="19"/>
      <c r="E142" s="12"/>
    </row>
    <row r="143" ht="14.25" customHeight="1">
      <c r="A143" s="16" t="str">
        <f>Productos!B148</f>
        <v/>
      </c>
      <c r="B143" s="16" t="str">
        <f>Productos!C148</f>
        <v/>
      </c>
      <c r="C143" s="16" t="str">
        <f>Productos!E148</f>
        <v/>
      </c>
      <c r="D143" s="19"/>
      <c r="E143" s="12"/>
    </row>
    <row r="144" ht="14.25" customHeight="1">
      <c r="A144" s="16" t="str">
        <f>Productos!B149</f>
        <v/>
      </c>
      <c r="B144" s="16" t="str">
        <f>Productos!C149</f>
        <v/>
      </c>
      <c r="C144" s="16" t="str">
        <f>Productos!E149</f>
        <v/>
      </c>
      <c r="D144" s="19"/>
      <c r="E144" s="12"/>
    </row>
    <row r="145" ht="14.25" customHeight="1">
      <c r="A145" s="16" t="str">
        <f>Productos!B150</f>
        <v/>
      </c>
      <c r="B145" s="16" t="str">
        <f>Productos!C150</f>
        <v/>
      </c>
      <c r="C145" s="16" t="str">
        <f>Productos!E150</f>
        <v/>
      </c>
      <c r="D145" s="19"/>
      <c r="E145" s="12"/>
    </row>
    <row r="146" ht="14.25" customHeight="1">
      <c r="A146" s="16" t="str">
        <f>Productos!B151</f>
        <v/>
      </c>
      <c r="B146" s="16" t="str">
        <f>Productos!C151</f>
        <v/>
      </c>
      <c r="C146" s="16" t="str">
        <f>Productos!E151</f>
        <v/>
      </c>
      <c r="D146" s="19"/>
      <c r="E146" s="12"/>
    </row>
    <row r="147" ht="14.25" customHeight="1">
      <c r="A147" s="16" t="str">
        <f>Productos!B152</f>
        <v/>
      </c>
      <c r="B147" s="16" t="str">
        <f>Productos!C152</f>
        <v/>
      </c>
      <c r="C147" s="16" t="str">
        <f>Productos!E152</f>
        <v/>
      </c>
      <c r="D147" s="19"/>
      <c r="E147" s="12"/>
    </row>
    <row r="148" ht="14.25" customHeight="1">
      <c r="A148" s="16" t="str">
        <f>Productos!B153</f>
        <v/>
      </c>
      <c r="B148" s="16" t="str">
        <f>Productos!C153</f>
        <v/>
      </c>
      <c r="C148" s="16" t="str">
        <f>Productos!E153</f>
        <v/>
      </c>
      <c r="D148" s="19"/>
      <c r="E148" s="12"/>
    </row>
    <row r="149" ht="14.25" customHeight="1">
      <c r="A149" s="16" t="str">
        <f>Productos!B154</f>
        <v/>
      </c>
      <c r="B149" s="16" t="str">
        <f>Productos!C154</f>
        <v/>
      </c>
      <c r="C149" s="16" t="str">
        <f>Productos!E154</f>
        <v/>
      </c>
      <c r="D149" s="19"/>
      <c r="E149" s="12"/>
    </row>
    <row r="150" ht="14.25" customHeight="1">
      <c r="A150" s="16" t="str">
        <f>Productos!B155</f>
        <v/>
      </c>
      <c r="B150" s="16" t="str">
        <f>Productos!C155</f>
        <v/>
      </c>
      <c r="C150" s="16" t="str">
        <f>Productos!E155</f>
        <v/>
      </c>
      <c r="D150" s="19"/>
      <c r="E150" s="12"/>
    </row>
    <row r="151" ht="14.25" customHeight="1">
      <c r="A151" s="16" t="str">
        <f>Productos!B156</f>
        <v/>
      </c>
      <c r="B151" s="16" t="str">
        <f>Productos!C156</f>
        <v/>
      </c>
      <c r="C151" s="16" t="str">
        <f>Productos!E156</f>
        <v/>
      </c>
      <c r="D151" s="19"/>
      <c r="E151" s="12"/>
    </row>
    <row r="152" ht="14.25" customHeight="1">
      <c r="A152" s="16" t="str">
        <f>Productos!B157</f>
        <v/>
      </c>
      <c r="B152" s="16" t="str">
        <f>Productos!C157</f>
        <v/>
      </c>
      <c r="C152" s="16" t="str">
        <f>Productos!E157</f>
        <v/>
      </c>
      <c r="D152" s="19"/>
      <c r="E152" s="12"/>
    </row>
    <row r="153" ht="14.25" customHeight="1">
      <c r="A153" s="16" t="str">
        <f>Productos!B158</f>
        <v/>
      </c>
      <c r="B153" s="16" t="str">
        <f>Productos!C158</f>
        <v/>
      </c>
      <c r="C153" s="16" t="str">
        <f>Productos!E158</f>
        <v/>
      </c>
      <c r="D153" s="19"/>
      <c r="E153" s="12"/>
    </row>
    <row r="154" ht="14.25" customHeight="1">
      <c r="A154" s="16" t="str">
        <f>Productos!B159</f>
        <v/>
      </c>
      <c r="B154" s="16" t="str">
        <f>Productos!C159</f>
        <v/>
      </c>
      <c r="C154" s="16" t="str">
        <f>Productos!E159</f>
        <v/>
      </c>
      <c r="D154" s="19"/>
      <c r="E154" s="12"/>
    </row>
    <row r="155" ht="14.25" customHeight="1">
      <c r="A155" s="16" t="str">
        <f>Productos!B160</f>
        <v/>
      </c>
      <c r="B155" s="16" t="str">
        <f>Productos!C160</f>
        <v/>
      </c>
      <c r="C155" s="16" t="str">
        <f>Productos!E160</f>
        <v/>
      </c>
      <c r="D155" s="19"/>
      <c r="E155" s="12"/>
    </row>
    <row r="156" ht="14.25" customHeight="1">
      <c r="A156" s="16" t="str">
        <f>Productos!B161</f>
        <v/>
      </c>
      <c r="B156" s="16" t="str">
        <f>Productos!C161</f>
        <v/>
      </c>
      <c r="C156" s="16" t="str">
        <f>Productos!E161</f>
        <v/>
      </c>
      <c r="D156" s="19"/>
      <c r="E156" s="12"/>
    </row>
    <row r="157" ht="14.25" customHeight="1">
      <c r="A157" s="16" t="str">
        <f>Productos!B162</f>
        <v/>
      </c>
      <c r="B157" s="16" t="str">
        <f>Productos!C162</f>
        <v/>
      </c>
      <c r="C157" s="16" t="str">
        <f>Productos!E162</f>
        <v/>
      </c>
      <c r="D157" s="19"/>
      <c r="E157" s="12"/>
    </row>
    <row r="158" ht="14.25" customHeight="1">
      <c r="A158" s="16" t="str">
        <f>Productos!B163</f>
        <v/>
      </c>
      <c r="B158" s="16" t="str">
        <f>Productos!C163</f>
        <v/>
      </c>
      <c r="C158" s="16" t="str">
        <f>Productos!E163</f>
        <v/>
      </c>
      <c r="D158" s="19"/>
      <c r="E158" s="12"/>
    </row>
    <row r="159" ht="14.25" customHeight="1">
      <c r="A159" s="16" t="str">
        <f>Productos!B164</f>
        <v/>
      </c>
      <c r="B159" s="16" t="str">
        <f>Productos!C164</f>
        <v/>
      </c>
      <c r="C159" s="16" t="str">
        <f>Productos!E164</f>
        <v/>
      </c>
      <c r="D159" s="19"/>
      <c r="E159" s="12"/>
    </row>
    <row r="160" ht="14.25" customHeight="1">
      <c r="A160" s="16" t="str">
        <f>Productos!B165</f>
        <v/>
      </c>
      <c r="B160" s="16" t="str">
        <f>Productos!C165</f>
        <v/>
      </c>
      <c r="C160" s="16" t="str">
        <f>Productos!E165</f>
        <v/>
      </c>
      <c r="D160" s="19"/>
      <c r="E160" s="12"/>
    </row>
    <row r="161" ht="14.25" customHeight="1">
      <c r="A161" s="16" t="str">
        <f>Productos!B166</f>
        <v/>
      </c>
      <c r="B161" s="16" t="str">
        <f>Productos!C166</f>
        <v/>
      </c>
      <c r="C161" s="16" t="str">
        <f>Productos!E166</f>
        <v/>
      </c>
      <c r="D161" s="19"/>
      <c r="E161" s="12"/>
    </row>
    <row r="162" ht="14.25" customHeight="1">
      <c r="A162" s="16" t="str">
        <f>Productos!B167</f>
        <v/>
      </c>
      <c r="B162" s="16" t="str">
        <f>Productos!C167</f>
        <v/>
      </c>
      <c r="C162" s="16" t="str">
        <f>Productos!E167</f>
        <v/>
      </c>
      <c r="D162" s="19"/>
      <c r="E162" s="12"/>
    </row>
    <row r="163" ht="14.25" customHeight="1">
      <c r="A163" s="16" t="str">
        <f>Productos!B168</f>
        <v/>
      </c>
      <c r="B163" s="16" t="str">
        <f>Productos!C168</f>
        <v/>
      </c>
      <c r="C163" s="16" t="str">
        <f>Productos!E168</f>
        <v/>
      </c>
      <c r="D163" s="19"/>
      <c r="E163" s="12"/>
    </row>
    <row r="164" ht="14.25" customHeight="1">
      <c r="A164" s="16" t="str">
        <f>Productos!B169</f>
        <v/>
      </c>
      <c r="B164" s="16" t="str">
        <f>Productos!C169</f>
        <v/>
      </c>
      <c r="C164" s="16" t="str">
        <f>Productos!E169</f>
        <v/>
      </c>
      <c r="D164" s="19"/>
      <c r="E164" s="12"/>
    </row>
    <row r="165" ht="14.25" customHeight="1">
      <c r="A165" s="16" t="str">
        <f>Productos!B170</f>
        <v/>
      </c>
      <c r="B165" s="16" t="str">
        <f>Productos!C170</f>
        <v/>
      </c>
      <c r="C165" s="16" t="str">
        <f>Productos!E170</f>
        <v/>
      </c>
      <c r="D165" s="19"/>
      <c r="E165" s="12"/>
    </row>
    <row r="166" ht="14.25" customHeight="1">
      <c r="A166" s="16" t="str">
        <f>Productos!B171</f>
        <v/>
      </c>
      <c r="B166" s="16" t="str">
        <f>Productos!C171</f>
        <v/>
      </c>
      <c r="C166" s="16" t="str">
        <f>Productos!E171</f>
        <v/>
      </c>
      <c r="D166" s="19"/>
      <c r="E166" s="12"/>
    </row>
    <row r="167" ht="14.25" customHeight="1">
      <c r="A167" s="16" t="str">
        <f>Productos!B172</f>
        <v/>
      </c>
      <c r="B167" s="16" t="str">
        <f>Productos!C172</f>
        <v/>
      </c>
      <c r="C167" s="16" t="str">
        <f>Productos!E172</f>
        <v/>
      </c>
      <c r="D167" s="19"/>
      <c r="E167" s="12"/>
    </row>
    <row r="168" ht="14.25" customHeight="1">
      <c r="A168" s="16" t="str">
        <f>Productos!B173</f>
        <v/>
      </c>
      <c r="B168" s="16" t="str">
        <f>Productos!C173</f>
        <v/>
      </c>
      <c r="C168" s="16" t="str">
        <f>Productos!E173</f>
        <v/>
      </c>
      <c r="D168" s="19"/>
      <c r="E168" s="12"/>
    </row>
    <row r="169" ht="14.25" customHeight="1">
      <c r="A169" s="16" t="str">
        <f>Productos!B174</f>
        <v/>
      </c>
      <c r="B169" s="16" t="str">
        <f>Productos!C174</f>
        <v/>
      </c>
      <c r="C169" s="16" t="str">
        <f>Productos!E174</f>
        <v/>
      </c>
      <c r="D169" s="19"/>
      <c r="E169" s="12"/>
    </row>
    <row r="170" ht="14.25" customHeight="1">
      <c r="A170" s="16" t="str">
        <f>Productos!B175</f>
        <v/>
      </c>
      <c r="B170" s="16" t="str">
        <f>Productos!C175</f>
        <v/>
      </c>
      <c r="C170" s="16" t="str">
        <f>Productos!E175</f>
        <v/>
      </c>
      <c r="D170" s="19"/>
      <c r="E170" s="12"/>
    </row>
    <row r="171" ht="14.25" customHeight="1">
      <c r="A171" s="16" t="str">
        <f>Productos!B176</f>
        <v/>
      </c>
      <c r="B171" s="16" t="str">
        <f>Productos!C176</f>
        <v/>
      </c>
      <c r="C171" s="16" t="str">
        <f>Productos!E176</f>
        <v/>
      </c>
      <c r="D171" s="19"/>
      <c r="E171" s="12"/>
    </row>
    <row r="172" ht="14.25" customHeight="1">
      <c r="A172" s="16" t="str">
        <f>Productos!B177</f>
        <v/>
      </c>
      <c r="B172" s="16" t="str">
        <f>Productos!C177</f>
        <v/>
      </c>
      <c r="C172" s="16" t="str">
        <f>Productos!E177</f>
        <v/>
      </c>
      <c r="D172" s="19"/>
      <c r="E172" s="12"/>
    </row>
    <row r="173" ht="14.25" customHeight="1">
      <c r="A173" s="16" t="str">
        <f>Productos!B178</f>
        <v/>
      </c>
      <c r="B173" s="16" t="str">
        <f>Productos!C178</f>
        <v/>
      </c>
      <c r="C173" s="16" t="str">
        <f>Productos!E178</f>
        <v/>
      </c>
      <c r="D173" s="19"/>
      <c r="E173" s="12"/>
    </row>
    <row r="174" ht="14.25" customHeight="1">
      <c r="A174" s="16" t="str">
        <f>Productos!B179</f>
        <v/>
      </c>
      <c r="B174" s="16" t="str">
        <f>Productos!C179</f>
        <v/>
      </c>
      <c r="C174" s="16" t="str">
        <f>Productos!E179</f>
        <v/>
      </c>
      <c r="D174" s="19"/>
      <c r="E174" s="12"/>
    </row>
    <row r="175" ht="14.25" customHeight="1">
      <c r="A175" s="16" t="str">
        <f>Productos!B180</f>
        <v/>
      </c>
      <c r="B175" s="16" t="str">
        <f>Productos!C180</f>
        <v/>
      </c>
      <c r="C175" s="16" t="str">
        <f>Productos!E180</f>
        <v/>
      </c>
      <c r="D175" s="19"/>
      <c r="E175" s="12"/>
    </row>
    <row r="176" ht="14.25" customHeight="1">
      <c r="A176" s="16" t="str">
        <f>Productos!B181</f>
        <v/>
      </c>
      <c r="B176" s="16" t="str">
        <f>Productos!C181</f>
        <v/>
      </c>
      <c r="C176" s="16" t="str">
        <f>Productos!E181</f>
        <v/>
      </c>
      <c r="D176" s="19"/>
      <c r="E176" s="12"/>
    </row>
    <row r="177" ht="14.25" customHeight="1">
      <c r="A177" s="16" t="str">
        <f>Productos!B182</f>
        <v/>
      </c>
      <c r="B177" s="16" t="str">
        <f>Productos!C182</f>
        <v/>
      </c>
      <c r="C177" s="16" t="str">
        <f>Productos!E182</f>
        <v/>
      </c>
      <c r="D177" s="19"/>
      <c r="E177" s="12"/>
    </row>
    <row r="178" ht="14.25" customHeight="1">
      <c r="A178" s="16" t="str">
        <f>Productos!B183</f>
        <v/>
      </c>
      <c r="B178" s="16" t="str">
        <f>Productos!C183</f>
        <v/>
      </c>
      <c r="C178" s="16" t="str">
        <f>Productos!E183</f>
        <v/>
      </c>
      <c r="D178" s="19"/>
      <c r="E178" s="12"/>
    </row>
    <row r="179" ht="14.25" customHeight="1">
      <c r="A179" s="16" t="str">
        <f>Productos!B184</f>
        <v/>
      </c>
      <c r="B179" s="16" t="str">
        <f>Productos!C184</f>
        <v/>
      </c>
      <c r="C179" s="16" t="str">
        <f>Productos!E184</f>
        <v/>
      </c>
      <c r="D179" s="19"/>
      <c r="E179" s="12"/>
    </row>
    <row r="180" ht="14.25" customHeight="1">
      <c r="A180" s="16" t="str">
        <f>Productos!B185</f>
        <v/>
      </c>
      <c r="B180" s="16" t="str">
        <f>Productos!C185</f>
        <v/>
      </c>
      <c r="C180" s="16" t="str">
        <f>Productos!E185</f>
        <v/>
      </c>
      <c r="D180" s="19"/>
      <c r="E180" s="12"/>
    </row>
    <row r="181" ht="14.25" customHeight="1">
      <c r="A181" s="16" t="str">
        <f>Productos!B186</f>
        <v/>
      </c>
      <c r="B181" s="16" t="str">
        <f>Productos!C186</f>
        <v/>
      </c>
      <c r="C181" s="16" t="str">
        <f>Productos!E186</f>
        <v/>
      </c>
      <c r="D181" s="19"/>
      <c r="E181" s="12"/>
    </row>
    <row r="182" ht="14.25" customHeight="1">
      <c r="A182" s="16" t="str">
        <f>Productos!B187</f>
        <v/>
      </c>
      <c r="B182" s="16" t="str">
        <f>Productos!C187</f>
        <v/>
      </c>
      <c r="C182" s="16" t="str">
        <f>Productos!E187</f>
        <v/>
      </c>
      <c r="D182" s="19"/>
      <c r="E182" s="12"/>
    </row>
    <row r="183" ht="14.25" customHeight="1">
      <c r="A183" s="16" t="str">
        <f>Productos!B188</f>
        <v/>
      </c>
      <c r="B183" s="16" t="str">
        <f>Productos!C188</f>
        <v/>
      </c>
      <c r="C183" s="16" t="str">
        <f>Productos!E188</f>
        <v/>
      </c>
      <c r="D183" s="19"/>
      <c r="E183" s="12"/>
    </row>
    <row r="184" ht="14.25" customHeight="1">
      <c r="A184" s="16" t="str">
        <f>Productos!B189</f>
        <v/>
      </c>
      <c r="B184" s="16" t="str">
        <f>Productos!C189</f>
        <v/>
      </c>
      <c r="C184" s="16" t="str">
        <f>Productos!E189</f>
        <v/>
      </c>
      <c r="D184" s="19"/>
      <c r="E184" s="12"/>
    </row>
    <row r="185" ht="14.25" customHeight="1">
      <c r="A185" s="16" t="str">
        <f>Productos!B190</f>
        <v/>
      </c>
      <c r="B185" s="16" t="str">
        <f>Productos!C190</f>
        <v/>
      </c>
      <c r="C185" s="16" t="str">
        <f>Productos!E190</f>
        <v/>
      </c>
      <c r="D185" s="19"/>
      <c r="E185" s="12"/>
    </row>
    <row r="186" ht="14.25" customHeight="1">
      <c r="A186" s="16" t="str">
        <f>Productos!B191</f>
        <v/>
      </c>
      <c r="B186" s="16" t="str">
        <f>Productos!C191</f>
        <v/>
      </c>
      <c r="C186" s="16" t="str">
        <f>Productos!E191</f>
        <v/>
      </c>
      <c r="D186" s="19"/>
      <c r="E186" s="12"/>
    </row>
    <row r="187" ht="14.25" customHeight="1">
      <c r="A187" s="16" t="str">
        <f>Productos!B192</f>
        <v/>
      </c>
      <c r="B187" s="16" t="str">
        <f>Productos!C192</f>
        <v/>
      </c>
      <c r="C187" s="16" t="str">
        <f>Productos!E192</f>
        <v/>
      </c>
      <c r="D187" s="19"/>
      <c r="E187" s="12"/>
    </row>
    <row r="188" ht="14.25" customHeight="1">
      <c r="A188" s="16" t="str">
        <f>Productos!B193</f>
        <v/>
      </c>
      <c r="B188" s="16" t="str">
        <f>Productos!C193</f>
        <v/>
      </c>
      <c r="C188" s="16" t="str">
        <f>Productos!E193</f>
        <v/>
      </c>
      <c r="D188" s="19"/>
      <c r="E188" s="12"/>
    </row>
    <row r="189" ht="14.25" customHeight="1">
      <c r="A189" s="16" t="str">
        <f>Productos!B194</f>
        <v/>
      </c>
      <c r="B189" s="16" t="str">
        <f>Productos!C194</f>
        <v/>
      </c>
      <c r="C189" s="16" t="str">
        <f>Productos!E194</f>
        <v/>
      </c>
      <c r="D189" s="19"/>
      <c r="E189" s="12"/>
    </row>
    <row r="190" ht="14.25" customHeight="1">
      <c r="A190" s="16" t="str">
        <f>Productos!B195</f>
        <v/>
      </c>
      <c r="B190" s="16" t="str">
        <f>Productos!C195</f>
        <v/>
      </c>
      <c r="C190" s="16" t="str">
        <f>Productos!E195</f>
        <v/>
      </c>
      <c r="D190" s="19"/>
      <c r="E190" s="12"/>
    </row>
    <row r="191" ht="14.25" customHeight="1">
      <c r="A191" s="16" t="str">
        <f>Productos!B196</f>
        <v/>
      </c>
      <c r="B191" s="16" t="str">
        <f>Productos!C196</f>
        <v/>
      </c>
      <c r="C191" s="16" t="str">
        <f>Productos!E196</f>
        <v/>
      </c>
      <c r="D191" s="19"/>
      <c r="E191" s="12"/>
    </row>
    <row r="192" ht="14.25" customHeight="1">
      <c r="A192" s="16" t="str">
        <f>Productos!B197</f>
        <v/>
      </c>
      <c r="B192" s="16" t="str">
        <f>Productos!C197</f>
        <v/>
      </c>
      <c r="C192" s="16" t="str">
        <f>Productos!E197</f>
        <v/>
      </c>
      <c r="D192" s="19"/>
      <c r="E192" s="12"/>
    </row>
    <row r="193" ht="14.25" customHeight="1">
      <c r="A193" s="16" t="str">
        <f>Productos!B198</f>
        <v/>
      </c>
      <c r="B193" s="16" t="str">
        <f>Productos!C198</f>
        <v/>
      </c>
      <c r="C193" s="16" t="str">
        <f>Productos!E198</f>
        <v/>
      </c>
      <c r="D193" s="19"/>
      <c r="E193" s="12"/>
    </row>
    <row r="194" ht="14.25" customHeight="1">
      <c r="A194" s="16" t="str">
        <f>Productos!B199</f>
        <v/>
      </c>
      <c r="B194" s="16" t="str">
        <f>Productos!C199</f>
        <v/>
      </c>
      <c r="C194" s="16" t="str">
        <f>Productos!E199</f>
        <v/>
      </c>
      <c r="D194" s="19"/>
      <c r="E194" s="12"/>
    </row>
    <row r="195" ht="14.25" customHeight="1">
      <c r="A195" s="16" t="str">
        <f>Productos!B200</f>
        <v/>
      </c>
      <c r="B195" s="16" t="str">
        <f>Productos!C200</f>
        <v/>
      </c>
      <c r="C195" s="16" t="str">
        <f>Productos!E200</f>
        <v/>
      </c>
      <c r="D195" s="19"/>
      <c r="E195" s="12"/>
    </row>
    <row r="196" ht="14.25" customHeight="1">
      <c r="A196" s="16" t="str">
        <f>Productos!B201</f>
        <v/>
      </c>
      <c r="B196" s="16" t="str">
        <f>Productos!C201</f>
        <v/>
      </c>
      <c r="C196" s="16" t="str">
        <f>Productos!E201</f>
        <v/>
      </c>
      <c r="D196" s="19"/>
      <c r="E196" s="12"/>
    </row>
    <row r="197" ht="14.25" customHeight="1">
      <c r="A197" s="16" t="str">
        <f>Productos!B202</f>
        <v/>
      </c>
      <c r="B197" s="16" t="str">
        <f>Productos!C202</f>
        <v/>
      </c>
      <c r="C197" s="16" t="str">
        <f>Productos!E202</f>
        <v/>
      </c>
      <c r="D197" s="19"/>
      <c r="E197" s="12"/>
    </row>
    <row r="198" ht="14.25" customHeight="1">
      <c r="A198" s="16" t="str">
        <f>Productos!B203</f>
        <v/>
      </c>
      <c r="B198" s="16" t="str">
        <f>Productos!C203</f>
        <v/>
      </c>
      <c r="C198" s="16" t="str">
        <f>Productos!E203</f>
        <v/>
      </c>
      <c r="D198" s="19"/>
      <c r="E198" s="12"/>
    </row>
    <row r="199" ht="14.25" customHeight="1">
      <c r="A199" s="16" t="str">
        <f>Productos!B204</f>
        <v/>
      </c>
      <c r="B199" s="16" t="str">
        <f>Productos!C204</f>
        <v/>
      </c>
      <c r="C199" s="16" t="str">
        <f>Productos!E204</f>
        <v/>
      </c>
      <c r="D199" s="19"/>
      <c r="E199" s="12"/>
    </row>
    <row r="200" ht="14.25" customHeight="1">
      <c r="A200" s="16" t="str">
        <f>Productos!B205</f>
        <v/>
      </c>
      <c r="B200" s="16" t="str">
        <f>Productos!C205</f>
        <v/>
      </c>
      <c r="C200" s="16" t="str">
        <f>Productos!E205</f>
        <v/>
      </c>
      <c r="D200" s="19"/>
      <c r="E200" s="12"/>
    </row>
    <row r="201" ht="14.25" customHeight="1">
      <c r="A201" s="16" t="str">
        <f>Productos!B206</f>
        <v/>
      </c>
      <c r="B201" s="16" t="str">
        <f>Productos!C206</f>
        <v/>
      </c>
      <c r="C201" s="16" t="str">
        <f>Productos!E206</f>
        <v/>
      </c>
      <c r="D201" s="19"/>
      <c r="E201" s="12"/>
    </row>
    <row r="202" ht="14.25" customHeight="1">
      <c r="A202" s="16" t="str">
        <f>Productos!B207</f>
        <v/>
      </c>
      <c r="B202" s="16" t="str">
        <f>Productos!C207</f>
        <v/>
      </c>
      <c r="C202" s="16" t="str">
        <f>Productos!E207</f>
        <v/>
      </c>
      <c r="D202" s="19"/>
      <c r="E202" s="12"/>
    </row>
    <row r="203" ht="14.25" customHeight="1">
      <c r="A203" s="16" t="str">
        <f>Productos!B208</f>
        <v/>
      </c>
      <c r="B203" s="16" t="str">
        <f>Productos!C208</f>
        <v/>
      </c>
      <c r="C203" s="16" t="str">
        <f>Productos!E208</f>
        <v/>
      </c>
      <c r="D203" s="19"/>
      <c r="E203" s="12"/>
    </row>
    <row r="204" ht="14.25" customHeight="1">
      <c r="A204" s="16" t="str">
        <f>Productos!B209</f>
        <v/>
      </c>
      <c r="B204" s="16" t="str">
        <f>Productos!C209</f>
        <v/>
      </c>
      <c r="C204" s="16" t="str">
        <f>Productos!E209</f>
        <v/>
      </c>
      <c r="D204" s="19"/>
      <c r="E204" s="12"/>
    </row>
    <row r="205" ht="14.25" customHeight="1">
      <c r="A205" s="16" t="str">
        <f>Productos!B210</f>
        <v/>
      </c>
      <c r="B205" s="16" t="str">
        <f>Productos!C210</f>
        <v/>
      </c>
      <c r="C205" s="16" t="str">
        <f>Productos!E210</f>
        <v/>
      </c>
      <c r="D205" s="19"/>
      <c r="E205" s="12"/>
    </row>
    <row r="206" ht="14.25" customHeight="1">
      <c r="A206" s="16" t="str">
        <f>Productos!B211</f>
        <v/>
      </c>
      <c r="B206" s="16" t="str">
        <f>Productos!C211</f>
        <v/>
      </c>
      <c r="C206" s="16" t="str">
        <f>Productos!E211</f>
        <v/>
      </c>
      <c r="D206" s="19"/>
      <c r="E206" s="12"/>
    </row>
    <row r="207" ht="14.25" customHeight="1">
      <c r="A207" s="16" t="str">
        <f>Productos!B212</f>
        <v/>
      </c>
      <c r="B207" s="16" t="str">
        <f>Productos!C212</f>
        <v/>
      </c>
      <c r="C207" s="16" t="str">
        <f>Productos!E212</f>
        <v/>
      </c>
      <c r="D207" s="19"/>
      <c r="E207" s="12"/>
    </row>
    <row r="208" ht="14.25" customHeight="1">
      <c r="A208" s="16" t="str">
        <f>Productos!B213</f>
        <v/>
      </c>
      <c r="B208" s="16" t="str">
        <f>Productos!C213</f>
        <v/>
      </c>
      <c r="C208" s="16" t="str">
        <f>Productos!E213</f>
        <v/>
      </c>
      <c r="D208" s="19"/>
      <c r="E208" s="12"/>
    </row>
    <row r="209" ht="14.25" customHeight="1">
      <c r="A209" s="16" t="str">
        <f>Productos!B214</f>
        <v/>
      </c>
      <c r="B209" s="16" t="str">
        <f>Productos!C214</f>
        <v/>
      </c>
      <c r="C209" s="16" t="str">
        <f>Productos!E214</f>
        <v/>
      </c>
      <c r="D209" s="19"/>
      <c r="E209" s="12"/>
    </row>
    <row r="210" ht="14.25" customHeight="1">
      <c r="A210" s="16" t="str">
        <f>Productos!B215</f>
        <v/>
      </c>
      <c r="B210" s="16" t="str">
        <f>Productos!C215</f>
        <v/>
      </c>
      <c r="C210" s="16" t="str">
        <f>Productos!E215</f>
        <v/>
      </c>
      <c r="D210" s="19"/>
      <c r="E210" s="12"/>
    </row>
    <row r="211" ht="14.25" customHeight="1">
      <c r="A211" s="16" t="str">
        <f>Productos!B216</f>
        <v/>
      </c>
      <c r="B211" s="16" t="str">
        <f>Productos!C216</f>
        <v/>
      </c>
      <c r="C211" s="16" t="str">
        <f>Productos!E216</f>
        <v/>
      </c>
      <c r="D211" s="19"/>
      <c r="E211" s="12"/>
    </row>
    <row r="212" ht="14.25" customHeight="1">
      <c r="A212" s="16" t="str">
        <f>Productos!B217</f>
        <v/>
      </c>
      <c r="B212" s="16" t="str">
        <f>Productos!C217</f>
        <v/>
      </c>
      <c r="C212" s="16" t="str">
        <f>Productos!E217</f>
        <v/>
      </c>
      <c r="D212" s="19"/>
      <c r="E212" s="12"/>
    </row>
    <row r="213" ht="14.25" customHeight="1">
      <c r="A213" s="16" t="str">
        <f>Productos!B218</f>
        <v/>
      </c>
      <c r="B213" s="16" t="str">
        <f>Productos!C218</f>
        <v/>
      </c>
      <c r="C213" s="16" t="str">
        <f>Productos!E218</f>
        <v/>
      </c>
      <c r="D213" s="19"/>
      <c r="E213" s="12"/>
    </row>
    <row r="214" ht="14.25" customHeight="1">
      <c r="A214" s="16" t="str">
        <f>Productos!B219</f>
        <v/>
      </c>
      <c r="B214" s="16" t="str">
        <f>Productos!C219</f>
        <v/>
      </c>
      <c r="C214" s="16" t="str">
        <f>Productos!E219</f>
        <v/>
      </c>
      <c r="D214" s="19"/>
      <c r="E214" s="12"/>
    </row>
    <row r="215" ht="14.25" customHeight="1">
      <c r="A215" s="16" t="str">
        <f>Productos!B220</f>
        <v/>
      </c>
      <c r="B215" s="16" t="str">
        <f>Productos!C220</f>
        <v/>
      </c>
      <c r="C215" s="16" t="str">
        <f>Productos!E220</f>
        <v/>
      </c>
      <c r="D215" s="19"/>
      <c r="E215" s="12"/>
    </row>
    <row r="216" ht="14.25" customHeight="1">
      <c r="A216" s="16" t="str">
        <f>Productos!B221</f>
        <v/>
      </c>
      <c r="B216" s="16" t="str">
        <f>Productos!C221</f>
        <v/>
      </c>
      <c r="C216" s="16" t="str">
        <f>Productos!E221</f>
        <v/>
      </c>
      <c r="D216" s="19"/>
      <c r="E216" s="12"/>
    </row>
    <row r="217" ht="14.25" customHeight="1">
      <c r="A217" s="16" t="str">
        <f>Productos!B222</f>
        <v/>
      </c>
      <c r="B217" s="16" t="str">
        <f>Productos!C222</f>
        <v/>
      </c>
      <c r="C217" s="16" t="str">
        <f>Productos!E222</f>
        <v/>
      </c>
      <c r="D217" s="19"/>
      <c r="E217" s="12"/>
    </row>
    <row r="218" ht="14.25" customHeight="1">
      <c r="A218" s="16" t="str">
        <f>Productos!B223</f>
        <v/>
      </c>
      <c r="B218" s="16" t="str">
        <f>Productos!C223</f>
        <v/>
      </c>
      <c r="C218" s="16" t="str">
        <f>Productos!E223</f>
        <v/>
      </c>
      <c r="D218" s="19"/>
      <c r="E218" s="12"/>
    </row>
    <row r="219" ht="14.25" customHeight="1">
      <c r="A219" s="16" t="str">
        <f>Productos!B224</f>
        <v/>
      </c>
      <c r="B219" s="16" t="str">
        <f>Productos!C224</f>
        <v/>
      </c>
      <c r="C219" s="16" t="str">
        <f>Productos!E224</f>
        <v/>
      </c>
      <c r="D219" s="19"/>
      <c r="E219" s="12"/>
    </row>
    <row r="220" ht="14.25" customHeight="1">
      <c r="A220" s="16" t="str">
        <f>Productos!B225</f>
        <v/>
      </c>
      <c r="B220" s="16" t="str">
        <f>Productos!C225</f>
        <v/>
      </c>
      <c r="C220" s="16" t="str">
        <f>Productos!E225</f>
        <v/>
      </c>
      <c r="D220" s="19"/>
      <c r="E220" s="12"/>
    </row>
    <row r="221" ht="14.25" customHeight="1">
      <c r="A221" s="16" t="str">
        <f>Productos!B226</f>
        <v/>
      </c>
      <c r="B221" s="16" t="str">
        <f>Productos!C226</f>
        <v/>
      </c>
      <c r="C221" s="16" t="str">
        <f>Productos!E226</f>
        <v/>
      </c>
      <c r="D221" s="19"/>
      <c r="E221" s="12"/>
    </row>
    <row r="222" ht="14.25" customHeight="1">
      <c r="A222" s="16" t="str">
        <f>Productos!B227</f>
        <v/>
      </c>
      <c r="B222" s="16" t="str">
        <f>Productos!C227</f>
        <v/>
      </c>
      <c r="C222" s="16" t="str">
        <f>Productos!E227</f>
        <v/>
      </c>
      <c r="D222" s="19"/>
      <c r="E222" s="12"/>
    </row>
    <row r="223" ht="14.25" customHeight="1">
      <c r="A223" s="16" t="str">
        <f>Productos!B228</f>
        <v/>
      </c>
      <c r="B223" s="16" t="str">
        <f>Productos!C228</f>
        <v/>
      </c>
      <c r="C223" s="16" t="str">
        <f>Productos!E228</f>
        <v/>
      </c>
      <c r="D223" s="19"/>
      <c r="E223" s="12"/>
    </row>
    <row r="224" ht="14.25" customHeight="1">
      <c r="A224" s="16" t="str">
        <f>Productos!B229</f>
        <v/>
      </c>
      <c r="B224" s="16" t="str">
        <f>Productos!C229</f>
        <v/>
      </c>
      <c r="C224" s="16" t="str">
        <f>Productos!E229</f>
        <v/>
      </c>
      <c r="D224" s="19"/>
      <c r="E224" s="12"/>
    </row>
    <row r="225" ht="14.25" customHeight="1">
      <c r="A225" s="16" t="str">
        <f>Productos!B230</f>
        <v/>
      </c>
      <c r="B225" s="16" t="str">
        <f>Productos!C230</f>
        <v/>
      </c>
      <c r="C225" s="16" t="str">
        <f>Productos!E230</f>
        <v/>
      </c>
      <c r="D225" s="19"/>
      <c r="E225" s="12"/>
    </row>
    <row r="226" ht="14.25" customHeight="1">
      <c r="A226" s="16" t="str">
        <f>Productos!B231</f>
        <v/>
      </c>
      <c r="B226" s="16" t="str">
        <f>Productos!C231</f>
        <v/>
      </c>
      <c r="C226" s="16" t="str">
        <f>Productos!E231</f>
        <v/>
      </c>
      <c r="D226" s="19"/>
      <c r="E226" s="12"/>
    </row>
    <row r="227" ht="14.25" customHeight="1">
      <c r="A227" s="16" t="str">
        <f>Productos!B232</f>
        <v/>
      </c>
      <c r="B227" s="16" t="str">
        <f>Productos!C232</f>
        <v/>
      </c>
      <c r="C227" s="16" t="str">
        <f>Productos!E232</f>
        <v/>
      </c>
      <c r="D227" s="19"/>
      <c r="E227" s="12"/>
    </row>
    <row r="228" ht="14.25" customHeight="1">
      <c r="A228" s="16" t="str">
        <f>Productos!B233</f>
        <v/>
      </c>
      <c r="B228" s="16" t="str">
        <f>Productos!C233</f>
        <v/>
      </c>
      <c r="C228" s="16" t="str">
        <f>Productos!E233</f>
        <v/>
      </c>
      <c r="D228" s="19"/>
      <c r="E228" s="12"/>
    </row>
    <row r="229" ht="14.25" customHeight="1">
      <c r="A229" s="16" t="str">
        <f>Productos!B234</f>
        <v/>
      </c>
      <c r="B229" s="16" t="str">
        <f>Productos!C234</f>
        <v/>
      </c>
      <c r="C229" s="16" t="str">
        <f>Productos!E234</f>
        <v/>
      </c>
      <c r="D229" s="19"/>
      <c r="E229" s="12"/>
    </row>
    <row r="230" ht="14.25" customHeight="1">
      <c r="A230" s="16" t="str">
        <f>Productos!B235</f>
        <v/>
      </c>
      <c r="B230" s="16" t="str">
        <f>Productos!C235</f>
        <v/>
      </c>
      <c r="C230" s="16" t="str">
        <f>Productos!E235</f>
        <v/>
      </c>
      <c r="D230" s="19"/>
      <c r="E230" s="12"/>
    </row>
    <row r="231" ht="14.25" customHeight="1">
      <c r="A231" s="16" t="str">
        <f>Productos!B236</f>
        <v/>
      </c>
      <c r="B231" s="16" t="str">
        <f>Productos!C236</f>
        <v/>
      </c>
      <c r="C231" s="16" t="str">
        <f>Productos!E236</f>
        <v/>
      </c>
      <c r="D231" s="19"/>
      <c r="E231" s="12"/>
    </row>
    <row r="232" ht="14.25" customHeight="1">
      <c r="A232" s="16" t="str">
        <f>Productos!B237</f>
        <v/>
      </c>
      <c r="B232" s="16" t="str">
        <f>Productos!C237</f>
        <v/>
      </c>
      <c r="C232" s="16" t="str">
        <f>Productos!E237</f>
        <v/>
      </c>
      <c r="D232" s="19"/>
      <c r="E232" s="12"/>
    </row>
    <row r="233" ht="14.25" customHeight="1">
      <c r="A233" s="16" t="str">
        <f>Productos!B238</f>
        <v/>
      </c>
      <c r="B233" s="16" t="str">
        <f>Productos!C238</f>
        <v/>
      </c>
      <c r="C233" s="16" t="str">
        <f>Productos!E238</f>
        <v/>
      </c>
      <c r="D233" s="19"/>
      <c r="E233" s="12"/>
    </row>
    <row r="234" ht="14.25" customHeight="1">
      <c r="A234" s="16" t="str">
        <f>Productos!B239</f>
        <v/>
      </c>
      <c r="B234" s="16" t="str">
        <f>Productos!C239</f>
        <v/>
      </c>
      <c r="C234" s="16" t="str">
        <f>Productos!E239</f>
        <v/>
      </c>
      <c r="D234" s="19"/>
      <c r="E234" s="12"/>
    </row>
    <row r="235" ht="14.25" customHeight="1">
      <c r="A235" s="16" t="str">
        <f>Productos!B240</f>
        <v/>
      </c>
      <c r="B235" s="16" t="str">
        <f>Productos!C240</f>
        <v/>
      </c>
      <c r="C235" s="16" t="str">
        <f>Productos!E240</f>
        <v/>
      </c>
      <c r="D235" s="19"/>
      <c r="E235" s="12"/>
    </row>
    <row r="236" ht="14.25" customHeight="1">
      <c r="A236" s="16" t="str">
        <f>Productos!B241</f>
        <v/>
      </c>
      <c r="B236" s="16" t="str">
        <f>Productos!C241</f>
        <v/>
      </c>
      <c r="C236" s="16" t="str">
        <f>Productos!E241</f>
        <v/>
      </c>
      <c r="D236" s="19"/>
      <c r="E236" s="12"/>
    </row>
    <row r="237" ht="14.25" customHeight="1">
      <c r="A237" s="16" t="str">
        <f>Productos!B242</f>
        <v/>
      </c>
      <c r="B237" s="16" t="str">
        <f>Productos!C242</f>
        <v/>
      </c>
      <c r="C237" s="16" t="str">
        <f>Productos!E242</f>
        <v/>
      </c>
      <c r="D237" s="19"/>
      <c r="E237" s="12"/>
    </row>
    <row r="238" ht="14.25" customHeight="1">
      <c r="A238" s="16" t="str">
        <f>Productos!B243</f>
        <v/>
      </c>
      <c r="B238" s="16" t="str">
        <f>Productos!C243</f>
        <v/>
      </c>
      <c r="C238" s="16" t="str">
        <f>Productos!E243</f>
        <v/>
      </c>
      <c r="D238" s="19"/>
      <c r="E238" s="12"/>
    </row>
    <row r="239" ht="14.25" customHeight="1">
      <c r="A239" s="16" t="str">
        <f>Productos!B244</f>
        <v/>
      </c>
      <c r="B239" s="16" t="str">
        <f>Productos!C244</f>
        <v/>
      </c>
      <c r="C239" s="16" t="str">
        <f>Productos!E244</f>
        <v/>
      </c>
      <c r="D239" s="19"/>
      <c r="E239" s="12"/>
    </row>
    <row r="240" ht="14.25" customHeight="1">
      <c r="A240" s="16" t="str">
        <f>Productos!B245</f>
        <v/>
      </c>
      <c r="B240" s="16" t="str">
        <f>Productos!C245</f>
        <v/>
      </c>
      <c r="C240" s="16" t="str">
        <f>Productos!E245</f>
        <v/>
      </c>
      <c r="D240" s="19"/>
      <c r="E240" s="12"/>
    </row>
    <row r="241" ht="14.25" customHeight="1">
      <c r="A241" s="16" t="str">
        <f>Productos!B246</f>
        <v/>
      </c>
      <c r="B241" s="16" t="str">
        <f>Productos!C246</f>
        <v/>
      </c>
      <c r="C241" s="16" t="str">
        <f>Productos!E246</f>
        <v/>
      </c>
      <c r="D241" s="19"/>
      <c r="E241" s="12"/>
    </row>
    <row r="242" ht="14.25" customHeight="1">
      <c r="A242" s="16" t="str">
        <f>Productos!B247</f>
        <v/>
      </c>
      <c r="B242" s="16" t="str">
        <f>Productos!C247</f>
        <v/>
      </c>
      <c r="C242" s="16" t="str">
        <f>Productos!E247</f>
        <v/>
      </c>
      <c r="D242" s="19"/>
      <c r="E242" s="12"/>
    </row>
    <row r="243" ht="14.25" customHeight="1">
      <c r="A243" s="16" t="str">
        <f>Productos!B248</f>
        <v/>
      </c>
      <c r="B243" s="16" t="str">
        <f>Productos!C248</f>
        <v/>
      </c>
      <c r="C243" s="16" t="str">
        <f>Productos!E248</f>
        <v/>
      </c>
      <c r="D243" s="19"/>
      <c r="E243" s="12"/>
    </row>
    <row r="244" ht="14.25" customHeight="1">
      <c r="A244" s="16" t="str">
        <f>Productos!B249</f>
        <v/>
      </c>
      <c r="B244" s="16" t="str">
        <f>Productos!C249</f>
        <v/>
      </c>
      <c r="C244" s="16" t="str">
        <f>Productos!E249</f>
        <v/>
      </c>
      <c r="D244" s="19"/>
      <c r="E244" s="12"/>
    </row>
    <row r="245" ht="14.25" customHeight="1">
      <c r="A245" s="16" t="str">
        <f>Productos!B250</f>
        <v/>
      </c>
      <c r="B245" s="16" t="str">
        <f>Productos!C250</f>
        <v/>
      </c>
      <c r="C245" s="16" t="str">
        <f>Productos!E250</f>
        <v/>
      </c>
      <c r="D245" s="19"/>
      <c r="E245" s="12"/>
    </row>
    <row r="246" ht="14.25" customHeight="1">
      <c r="A246" s="16" t="str">
        <f>Productos!B251</f>
        <v/>
      </c>
      <c r="B246" s="16" t="str">
        <f>Productos!C251</f>
        <v/>
      </c>
      <c r="C246" s="16" t="str">
        <f>Productos!E251</f>
        <v/>
      </c>
      <c r="D246" s="19"/>
      <c r="E246" s="12"/>
    </row>
    <row r="247" ht="14.25" customHeight="1">
      <c r="A247" s="16" t="str">
        <f>Productos!B252</f>
        <v/>
      </c>
      <c r="B247" s="16" t="str">
        <f>Productos!C252</f>
        <v/>
      </c>
      <c r="C247" s="16" t="str">
        <f>Productos!E252</f>
        <v/>
      </c>
      <c r="D247" s="19"/>
      <c r="E247" s="12"/>
    </row>
    <row r="248" ht="14.25" customHeight="1">
      <c r="A248" s="16" t="str">
        <f>Productos!B253</f>
        <v/>
      </c>
      <c r="B248" s="16" t="str">
        <f>Productos!C253</f>
        <v/>
      </c>
      <c r="C248" s="16" t="str">
        <f>Productos!E253</f>
        <v/>
      </c>
      <c r="D248" s="19"/>
      <c r="E248" s="12"/>
    </row>
    <row r="249" ht="14.25" customHeight="1">
      <c r="A249" s="16" t="str">
        <f>Productos!B254</f>
        <v/>
      </c>
      <c r="B249" s="16" t="str">
        <f>Productos!C254</f>
        <v/>
      </c>
      <c r="C249" s="16" t="str">
        <f>Productos!E254</f>
        <v/>
      </c>
      <c r="D249" s="19"/>
      <c r="E249" s="12"/>
    </row>
    <row r="250" ht="14.25" customHeight="1">
      <c r="A250" s="16" t="str">
        <f>Productos!B255</f>
        <v/>
      </c>
      <c r="B250" s="16" t="str">
        <f>Productos!C255</f>
        <v/>
      </c>
      <c r="C250" s="16" t="str">
        <f>Productos!E255</f>
        <v/>
      </c>
      <c r="D250" s="19"/>
      <c r="E250" s="12"/>
    </row>
    <row r="251" ht="14.25" customHeight="1">
      <c r="A251" s="16" t="str">
        <f>Productos!B256</f>
        <v/>
      </c>
      <c r="B251" s="16" t="str">
        <f>Productos!C256</f>
        <v/>
      </c>
      <c r="C251" s="16" t="str">
        <f>Productos!E256</f>
        <v/>
      </c>
      <c r="D251" s="19"/>
      <c r="E251" s="12"/>
    </row>
    <row r="252" ht="14.25" customHeight="1">
      <c r="A252" s="16" t="str">
        <f>Productos!B257</f>
        <v/>
      </c>
      <c r="B252" s="16" t="str">
        <f>Productos!C257</f>
        <v/>
      </c>
      <c r="C252" s="16" t="str">
        <f>Productos!E257</f>
        <v/>
      </c>
      <c r="D252" s="19"/>
      <c r="E252" s="12"/>
    </row>
    <row r="253" ht="14.25" customHeight="1">
      <c r="A253" s="16" t="str">
        <f>Productos!B258</f>
        <v/>
      </c>
      <c r="B253" s="16" t="str">
        <f>Productos!C258</f>
        <v/>
      </c>
      <c r="C253" s="16" t="str">
        <f>Productos!E258</f>
        <v/>
      </c>
      <c r="D253" s="19"/>
      <c r="E253" s="12"/>
    </row>
    <row r="254" ht="14.25" customHeight="1">
      <c r="A254" s="16" t="str">
        <f>Productos!B259</f>
        <v/>
      </c>
      <c r="B254" s="16" t="str">
        <f>Productos!C259</f>
        <v/>
      </c>
      <c r="C254" s="16" t="str">
        <f>Productos!E259</f>
        <v/>
      </c>
      <c r="D254" s="19"/>
      <c r="E254" s="12"/>
    </row>
    <row r="255" ht="14.25" customHeight="1">
      <c r="A255" s="16" t="str">
        <f>Productos!B260</f>
        <v/>
      </c>
      <c r="B255" s="16" t="str">
        <f>Productos!C260</f>
        <v/>
      </c>
      <c r="C255" s="16" t="str">
        <f>Productos!E260</f>
        <v/>
      </c>
      <c r="D255" s="19"/>
      <c r="E255" s="12"/>
    </row>
    <row r="256" ht="14.25" customHeight="1">
      <c r="A256" s="16" t="str">
        <f>Productos!B261</f>
        <v/>
      </c>
      <c r="B256" s="16" t="str">
        <f>Productos!C261</f>
        <v/>
      </c>
      <c r="C256" s="16" t="str">
        <f>Productos!E261</f>
        <v/>
      </c>
      <c r="D256" s="19"/>
      <c r="E256" s="12"/>
    </row>
    <row r="257" ht="14.25" customHeight="1">
      <c r="A257" s="16" t="str">
        <f>Productos!B262</f>
        <v/>
      </c>
      <c r="B257" s="16" t="str">
        <f>Productos!C262</f>
        <v/>
      </c>
      <c r="C257" s="16" t="str">
        <f>Productos!E262</f>
        <v/>
      </c>
      <c r="D257" s="19"/>
      <c r="E257" s="12"/>
    </row>
    <row r="258" ht="14.25" customHeight="1">
      <c r="A258" s="16" t="str">
        <f>Productos!B263</f>
        <v/>
      </c>
      <c r="B258" s="16" t="str">
        <f>Productos!C263</f>
        <v/>
      </c>
      <c r="C258" s="16" t="str">
        <f>Productos!E263</f>
        <v/>
      </c>
      <c r="D258" s="19"/>
      <c r="E258" s="12"/>
    </row>
    <row r="259" ht="14.25" customHeight="1">
      <c r="A259" s="16" t="str">
        <f>Productos!B264</f>
        <v/>
      </c>
      <c r="B259" s="16" t="str">
        <f>Productos!C264</f>
        <v/>
      </c>
      <c r="C259" s="16" t="str">
        <f>Productos!E264</f>
        <v/>
      </c>
      <c r="D259" s="19"/>
      <c r="E259" s="12"/>
    </row>
    <row r="260" ht="14.25" customHeight="1">
      <c r="A260" s="16" t="str">
        <f>Productos!B265</f>
        <v/>
      </c>
      <c r="B260" s="16" t="str">
        <f>Productos!C265</f>
        <v/>
      </c>
      <c r="C260" s="16" t="str">
        <f>Productos!E265</f>
        <v/>
      </c>
      <c r="D260" s="19"/>
      <c r="E260" s="12"/>
    </row>
    <row r="261" ht="14.25" customHeight="1">
      <c r="A261" s="16" t="str">
        <f>Productos!B266</f>
        <v/>
      </c>
      <c r="B261" s="16" t="str">
        <f>Productos!C266</f>
        <v/>
      </c>
      <c r="C261" s="16" t="str">
        <f>Productos!E266</f>
        <v/>
      </c>
      <c r="D261" s="19"/>
      <c r="E261" s="12"/>
    </row>
    <row r="262" ht="14.25" customHeight="1">
      <c r="A262" s="16" t="str">
        <f>Productos!B267</f>
        <v/>
      </c>
      <c r="B262" s="16" t="str">
        <f>Productos!C267</f>
        <v/>
      </c>
      <c r="C262" s="16" t="str">
        <f>Productos!E267</f>
        <v/>
      </c>
      <c r="D262" s="19"/>
      <c r="E262" s="12"/>
    </row>
    <row r="263" ht="14.25" customHeight="1">
      <c r="A263" s="16" t="str">
        <f>Productos!B268</f>
        <v/>
      </c>
      <c r="B263" s="16" t="str">
        <f>Productos!C268</f>
        <v/>
      </c>
      <c r="C263" s="16" t="str">
        <f>Productos!E268</f>
        <v/>
      </c>
      <c r="D263" s="19"/>
      <c r="E263" s="12"/>
    </row>
    <row r="264" ht="14.25" customHeight="1">
      <c r="A264" s="16" t="str">
        <f>Productos!B269</f>
        <v/>
      </c>
      <c r="B264" s="16" t="str">
        <f>Productos!C269</f>
        <v/>
      </c>
      <c r="C264" s="16" t="str">
        <f>Productos!E269</f>
        <v/>
      </c>
      <c r="D264" s="19"/>
      <c r="E264" s="12"/>
    </row>
    <row r="265" ht="14.25" customHeight="1">
      <c r="A265" s="16" t="str">
        <f>Productos!B270</f>
        <v/>
      </c>
      <c r="B265" s="16" t="str">
        <f>Productos!C270</f>
        <v/>
      </c>
      <c r="C265" s="16" t="str">
        <f>Productos!E270</f>
        <v/>
      </c>
      <c r="D265" s="19"/>
      <c r="E265" s="12"/>
    </row>
    <row r="266" ht="14.25" customHeight="1">
      <c r="A266" s="16" t="str">
        <f>Productos!B271</f>
        <v/>
      </c>
      <c r="B266" s="16" t="str">
        <f>Productos!C271</f>
        <v/>
      </c>
      <c r="C266" s="16" t="str">
        <f>Productos!E271</f>
        <v/>
      </c>
      <c r="D266" s="19"/>
      <c r="E266" s="12"/>
    </row>
    <row r="267" ht="14.25" customHeight="1">
      <c r="A267" s="16" t="str">
        <f>Productos!B272</f>
        <v/>
      </c>
      <c r="B267" s="16" t="str">
        <f>Productos!C272</f>
        <v/>
      </c>
      <c r="C267" s="16" t="str">
        <f>Productos!E272</f>
        <v/>
      </c>
      <c r="D267" s="19"/>
      <c r="E267" s="12"/>
    </row>
    <row r="268" ht="14.25" customHeight="1">
      <c r="A268" s="16" t="str">
        <f>Productos!B273</f>
        <v/>
      </c>
      <c r="B268" s="16" t="str">
        <f>Productos!C273</f>
        <v/>
      </c>
      <c r="C268" s="16" t="str">
        <f>Productos!E273</f>
        <v/>
      </c>
      <c r="D268" s="19"/>
      <c r="E268" s="12"/>
    </row>
    <row r="269" ht="14.25" customHeight="1">
      <c r="A269" s="16" t="str">
        <f>Productos!B274</f>
        <v/>
      </c>
      <c r="B269" s="16" t="str">
        <f>Productos!C274</f>
        <v/>
      </c>
      <c r="C269" s="16" t="str">
        <f>Productos!E274</f>
        <v/>
      </c>
      <c r="D269" s="19"/>
      <c r="E269" s="12"/>
    </row>
    <row r="270" ht="14.25" customHeight="1">
      <c r="A270" s="16" t="str">
        <f>Productos!B275</f>
        <v/>
      </c>
      <c r="B270" s="16" t="str">
        <f>Productos!C275</f>
        <v/>
      </c>
      <c r="C270" s="16" t="str">
        <f>Productos!E275</f>
        <v/>
      </c>
      <c r="D270" s="19"/>
      <c r="E270" s="12"/>
    </row>
    <row r="271" ht="14.25" customHeight="1">
      <c r="A271" s="16" t="str">
        <f>Productos!B276</f>
        <v/>
      </c>
      <c r="B271" s="16" t="str">
        <f>Productos!C276</f>
        <v/>
      </c>
      <c r="C271" s="16" t="str">
        <f>Productos!E276</f>
        <v/>
      </c>
      <c r="D271" s="19"/>
      <c r="E271" s="12"/>
    </row>
    <row r="272" ht="14.25" customHeight="1">
      <c r="A272" s="16" t="str">
        <f>Productos!B277</f>
        <v/>
      </c>
      <c r="B272" s="16" t="str">
        <f>Productos!C277</f>
        <v/>
      </c>
      <c r="C272" s="16" t="str">
        <f>Productos!E277</f>
        <v/>
      </c>
      <c r="D272" s="19"/>
      <c r="E272" s="12"/>
    </row>
    <row r="273" ht="14.25" customHeight="1">
      <c r="A273" s="16" t="str">
        <f>Productos!B278</f>
        <v/>
      </c>
      <c r="B273" s="16" t="str">
        <f>Productos!C278</f>
        <v/>
      </c>
      <c r="C273" s="16" t="str">
        <f>Productos!E278</f>
        <v/>
      </c>
      <c r="D273" s="19"/>
      <c r="E273" s="12"/>
    </row>
    <row r="274" ht="14.25" customHeight="1">
      <c r="A274" s="16" t="str">
        <f>Productos!B279</f>
        <v/>
      </c>
      <c r="B274" s="16" t="str">
        <f>Productos!C279</f>
        <v/>
      </c>
      <c r="C274" s="16" t="str">
        <f>Productos!E279</f>
        <v/>
      </c>
      <c r="D274" s="19"/>
      <c r="E274" s="12"/>
    </row>
    <row r="275" ht="14.25" customHeight="1">
      <c r="A275" s="16" t="str">
        <f>Productos!B280</f>
        <v/>
      </c>
      <c r="B275" s="16" t="str">
        <f>Productos!C280</f>
        <v/>
      </c>
      <c r="C275" s="16" t="str">
        <f>Productos!E280</f>
        <v/>
      </c>
      <c r="D275" s="19"/>
      <c r="E275" s="12"/>
    </row>
    <row r="276" ht="14.25" customHeight="1">
      <c r="A276" s="16" t="str">
        <f>Productos!B281</f>
        <v/>
      </c>
      <c r="B276" s="16" t="str">
        <f>Productos!C281</f>
        <v/>
      </c>
      <c r="C276" s="16" t="str">
        <f>Productos!E281</f>
        <v/>
      </c>
      <c r="D276" s="19"/>
      <c r="E276" s="12"/>
    </row>
    <row r="277" ht="14.25" customHeight="1">
      <c r="A277" s="16" t="str">
        <f>Productos!B282</f>
        <v/>
      </c>
      <c r="B277" s="16" t="str">
        <f>Productos!C282</f>
        <v/>
      </c>
      <c r="C277" s="16" t="str">
        <f>Productos!E282</f>
        <v/>
      </c>
      <c r="D277" s="19"/>
      <c r="E277" s="12"/>
    </row>
    <row r="278" ht="14.25" customHeight="1">
      <c r="A278" s="16" t="str">
        <f>Productos!B283</f>
        <v/>
      </c>
      <c r="B278" s="16" t="str">
        <f>Productos!C283</f>
        <v/>
      </c>
      <c r="C278" s="16" t="str">
        <f>Productos!E283</f>
        <v/>
      </c>
      <c r="D278" s="19"/>
      <c r="E278" s="12"/>
    </row>
    <row r="279" ht="14.25" customHeight="1">
      <c r="A279" s="16" t="str">
        <f>Productos!B284</f>
        <v/>
      </c>
      <c r="B279" s="16" t="str">
        <f>Productos!C284</f>
        <v/>
      </c>
      <c r="C279" s="16" t="str">
        <f>Productos!E284</f>
        <v/>
      </c>
      <c r="D279" s="19"/>
      <c r="E279" s="12"/>
    </row>
    <row r="280" ht="14.25" customHeight="1">
      <c r="A280" s="16" t="str">
        <f>Productos!B285</f>
        <v/>
      </c>
      <c r="B280" s="16" t="str">
        <f>Productos!C285</f>
        <v/>
      </c>
      <c r="C280" s="16" t="str">
        <f>Productos!E285</f>
        <v/>
      </c>
      <c r="D280" s="19"/>
      <c r="E280" s="12"/>
    </row>
    <row r="281" ht="14.25" customHeight="1">
      <c r="A281" s="16" t="str">
        <f>Productos!B286</f>
        <v/>
      </c>
      <c r="B281" s="16" t="str">
        <f>Productos!C286</f>
        <v/>
      </c>
      <c r="C281" s="16" t="str">
        <f>Productos!E286</f>
        <v/>
      </c>
      <c r="D281" s="19"/>
      <c r="E281" s="12"/>
    </row>
    <row r="282" ht="14.25" customHeight="1">
      <c r="A282" s="16" t="str">
        <f>Productos!B287</f>
        <v/>
      </c>
      <c r="B282" s="16" t="str">
        <f>Productos!C287</f>
        <v/>
      </c>
      <c r="C282" s="16" t="str">
        <f>Productos!E287</f>
        <v/>
      </c>
      <c r="D282" s="19"/>
      <c r="E282" s="12"/>
    </row>
    <row r="283" ht="14.25" customHeight="1">
      <c r="A283" s="16" t="str">
        <f>Productos!B288</f>
        <v/>
      </c>
      <c r="B283" s="16" t="str">
        <f>Productos!C288</f>
        <v/>
      </c>
      <c r="C283" s="16" t="str">
        <f>Productos!E288</f>
        <v/>
      </c>
      <c r="D283" s="19"/>
      <c r="E283" s="12"/>
    </row>
    <row r="284" ht="14.25" customHeight="1">
      <c r="A284" s="16" t="str">
        <f>Productos!B289</f>
        <v/>
      </c>
      <c r="B284" s="16" t="str">
        <f>Productos!C289</f>
        <v/>
      </c>
      <c r="C284" s="16" t="str">
        <f>Productos!E289</f>
        <v/>
      </c>
      <c r="D284" s="19"/>
      <c r="E284" s="12"/>
    </row>
    <row r="285" ht="14.25" customHeight="1">
      <c r="A285" s="16" t="str">
        <f>Productos!B290</f>
        <v/>
      </c>
      <c r="B285" s="16" t="str">
        <f>Productos!C290</f>
        <v/>
      </c>
      <c r="C285" s="16" t="str">
        <f>Productos!E290</f>
        <v/>
      </c>
      <c r="D285" s="19"/>
      <c r="E285" s="12"/>
    </row>
    <row r="286" ht="14.25" customHeight="1">
      <c r="A286" s="16" t="str">
        <f>Productos!B291</f>
        <v/>
      </c>
      <c r="B286" s="16" t="str">
        <f>Productos!C291</f>
        <v/>
      </c>
      <c r="C286" s="16" t="str">
        <f>Productos!E291</f>
        <v/>
      </c>
      <c r="D286" s="19"/>
      <c r="E286" s="12"/>
    </row>
    <row r="287" ht="14.25" customHeight="1">
      <c r="A287" s="16" t="str">
        <f>Productos!B292</f>
        <v/>
      </c>
      <c r="B287" s="16" t="str">
        <f>Productos!C292</f>
        <v/>
      </c>
      <c r="C287" s="16" t="str">
        <f>Productos!E292</f>
        <v/>
      </c>
      <c r="D287" s="19"/>
      <c r="E287" s="12"/>
    </row>
    <row r="288" ht="14.25" customHeight="1">
      <c r="A288" s="16" t="str">
        <f>Productos!B293</f>
        <v/>
      </c>
      <c r="B288" s="16" t="str">
        <f>Productos!C293</f>
        <v/>
      </c>
      <c r="C288" s="16" t="str">
        <f>Productos!E293</f>
        <v/>
      </c>
      <c r="D288" s="19"/>
      <c r="E288" s="12"/>
    </row>
    <row r="289" ht="14.25" customHeight="1">
      <c r="A289" s="16" t="str">
        <f>Productos!B294</f>
        <v/>
      </c>
      <c r="B289" s="16" t="str">
        <f>Productos!C294</f>
        <v/>
      </c>
      <c r="C289" s="16" t="str">
        <f>Productos!E294</f>
        <v/>
      </c>
      <c r="D289" s="19"/>
      <c r="E289" s="12"/>
    </row>
    <row r="290" ht="14.25" customHeight="1">
      <c r="A290" s="16" t="str">
        <f>Productos!B295</f>
        <v/>
      </c>
      <c r="B290" s="16" t="str">
        <f>Productos!C295</f>
        <v/>
      </c>
      <c r="C290" s="16" t="str">
        <f>Productos!E295</f>
        <v/>
      </c>
      <c r="D290" s="19"/>
      <c r="E290" s="12"/>
    </row>
    <row r="291" ht="14.25" customHeight="1">
      <c r="A291" s="16" t="str">
        <f>Productos!B296</f>
        <v/>
      </c>
      <c r="B291" s="16" t="str">
        <f>Productos!C296</f>
        <v/>
      </c>
      <c r="C291" s="16" t="str">
        <f>Productos!E296</f>
        <v/>
      </c>
      <c r="D291" s="19"/>
      <c r="E291" s="12"/>
    </row>
    <row r="292" ht="14.25" customHeight="1">
      <c r="A292" s="16" t="str">
        <f>Productos!B297</f>
        <v/>
      </c>
      <c r="B292" s="16" t="str">
        <f>Productos!C297</f>
        <v/>
      </c>
      <c r="C292" s="16" t="str">
        <f>Productos!E297</f>
        <v/>
      </c>
      <c r="D292" s="19"/>
      <c r="E292" s="12"/>
    </row>
    <row r="293" ht="14.25" customHeight="1">
      <c r="A293" s="16" t="str">
        <f>Productos!B298</f>
        <v/>
      </c>
      <c r="B293" s="16" t="str">
        <f>Productos!C298</f>
        <v/>
      </c>
      <c r="C293" s="16" t="str">
        <f>Productos!E298</f>
        <v/>
      </c>
      <c r="D293" s="19"/>
      <c r="E293" s="12"/>
    </row>
    <row r="294" ht="14.25" customHeight="1">
      <c r="A294" s="16" t="str">
        <f>Productos!B299</f>
        <v/>
      </c>
      <c r="B294" s="16" t="str">
        <f>Productos!C299</f>
        <v/>
      </c>
      <c r="C294" s="16" t="str">
        <f>Productos!E299</f>
        <v/>
      </c>
      <c r="D294" s="19"/>
      <c r="E294" s="12"/>
    </row>
    <row r="295" ht="14.25" customHeight="1">
      <c r="A295" s="16" t="str">
        <f>Productos!B300</f>
        <v/>
      </c>
      <c r="B295" s="16" t="str">
        <f>Productos!C300</f>
        <v/>
      </c>
      <c r="C295" s="16" t="str">
        <f>Productos!E300</f>
        <v/>
      </c>
      <c r="D295" s="19"/>
      <c r="E295" s="12"/>
    </row>
    <row r="296" ht="14.25" customHeight="1">
      <c r="A296" s="16" t="str">
        <f>Productos!B301</f>
        <v/>
      </c>
      <c r="B296" s="16" t="str">
        <f>Productos!C301</f>
        <v/>
      </c>
      <c r="C296" s="16" t="str">
        <f>Productos!E301</f>
        <v/>
      </c>
      <c r="D296" s="19"/>
      <c r="E296" s="12"/>
    </row>
    <row r="297" ht="14.25" customHeight="1">
      <c r="A297" s="16" t="str">
        <f>Productos!B302</f>
        <v/>
      </c>
      <c r="B297" s="16" t="str">
        <f>Productos!C302</f>
        <v/>
      </c>
      <c r="C297" s="16" t="str">
        <f>Productos!E302</f>
        <v/>
      </c>
      <c r="D297" s="19"/>
      <c r="E297" s="12"/>
    </row>
    <row r="298" ht="14.25" customHeight="1">
      <c r="A298" s="16" t="str">
        <f>Productos!B303</f>
        <v/>
      </c>
      <c r="B298" s="16" t="str">
        <f>Productos!C303</f>
        <v/>
      </c>
      <c r="C298" s="16" t="str">
        <f>Productos!E303</f>
        <v/>
      </c>
      <c r="D298" s="19"/>
      <c r="E298" s="12"/>
    </row>
    <row r="299" ht="14.25" customHeight="1">
      <c r="A299" s="16" t="str">
        <f>Productos!B304</f>
        <v/>
      </c>
      <c r="B299" s="16" t="str">
        <f>Productos!C304</f>
        <v/>
      </c>
      <c r="C299" s="16" t="str">
        <f>Productos!E304</f>
        <v/>
      </c>
      <c r="D299" s="19"/>
      <c r="E299" s="12"/>
    </row>
    <row r="300" ht="14.25" customHeight="1">
      <c r="A300" s="16" t="str">
        <f>Productos!B305</f>
        <v/>
      </c>
      <c r="B300" s="16" t="str">
        <f>Productos!C305</f>
        <v/>
      </c>
      <c r="C300" s="16" t="str">
        <f>Productos!E305</f>
        <v/>
      </c>
      <c r="D300" s="19"/>
      <c r="E300" s="12"/>
    </row>
    <row r="301" ht="14.25" customHeight="1">
      <c r="A301" s="16" t="str">
        <f>Productos!B306</f>
        <v/>
      </c>
      <c r="B301" s="16" t="str">
        <f>Productos!C306</f>
        <v/>
      </c>
      <c r="C301" s="16" t="str">
        <f>Productos!E306</f>
        <v/>
      </c>
      <c r="D301" s="19"/>
      <c r="E301" s="12"/>
    </row>
    <row r="302" ht="14.25" customHeight="1">
      <c r="A302" s="16" t="str">
        <f>Productos!B307</f>
        <v/>
      </c>
      <c r="B302" s="16" t="str">
        <f>Productos!C307</f>
        <v/>
      </c>
      <c r="C302" s="16" t="str">
        <f>Productos!E307</f>
        <v/>
      </c>
      <c r="D302" s="19"/>
      <c r="E302" s="12"/>
    </row>
    <row r="303" ht="14.25" customHeight="1">
      <c r="A303" s="16" t="str">
        <f>Productos!B308</f>
        <v/>
      </c>
      <c r="B303" s="16" t="str">
        <f>Productos!C308</f>
        <v/>
      </c>
      <c r="C303" s="16" t="str">
        <f>Productos!E308</f>
        <v/>
      </c>
      <c r="D303" s="19"/>
      <c r="E303" s="12"/>
    </row>
    <row r="304" ht="14.25" customHeight="1">
      <c r="A304" s="16" t="str">
        <f>Productos!B309</f>
        <v/>
      </c>
      <c r="B304" s="16" t="str">
        <f>Productos!C309</f>
        <v/>
      </c>
      <c r="C304" s="16" t="str">
        <f>Productos!E309</f>
        <v/>
      </c>
      <c r="D304" s="19"/>
      <c r="E304" s="12"/>
    </row>
    <row r="305" ht="14.25" customHeight="1">
      <c r="A305" s="16" t="str">
        <f>Productos!B310</f>
        <v/>
      </c>
      <c r="B305" s="16" t="str">
        <f>Productos!C310</f>
        <v/>
      </c>
      <c r="C305" s="16" t="str">
        <f>Productos!E310</f>
        <v/>
      </c>
      <c r="D305" s="19"/>
      <c r="E305" s="12"/>
    </row>
    <row r="306" ht="14.25" customHeight="1">
      <c r="A306" s="16" t="str">
        <f>Productos!B311</f>
        <v/>
      </c>
      <c r="B306" s="16" t="str">
        <f>Productos!C311</f>
        <v/>
      </c>
      <c r="C306" s="16" t="str">
        <f>Productos!E311</f>
        <v/>
      </c>
      <c r="D306" s="19"/>
      <c r="E306" s="12"/>
    </row>
    <row r="307" ht="14.25" customHeight="1">
      <c r="A307" s="16" t="str">
        <f>Productos!B312</f>
        <v/>
      </c>
      <c r="B307" s="16" t="str">
        <f>Productos!C312</f>
        <v/>
      </c>
      <c r="C307" s="16" t="str">
        <f>Productos!E312</f>
        <v/>
      </c>
      <c r="D307" s="19"/>
      <c r="E307" s="12"/>
    </row>
    <row r="308" ht="14.25" customHeight="1">
      <c r="A308" s="16" t="str">
        <f>Productos!B313</f>
        <v/>
      </c>
      <c r="B308" s="16" t="str">
        <f>Productos!C313</f>
        <v/>
      </c>
      <c r="C308" s="16" t="str">
        <f>Productos!E313</f>
        <v/>
      </c>
      <c r="D308" s="19"/>
      <c r="E308" s="12"/>
    </row>
    <row r="309" ht="14.25" customHeight="1">
      <c r="A309" s="16" t="str">
        <f>Productos!B314</f>
        <v/>
      </c>
      <c r="B309" s="16" t="str">
        <f>Productos!C314</f>
        <v/>
      </c>
      <c r="C309" s="16" t="str">
        <f>Productos!E314</f>
        <v/>
      </c>
      <c r="D309" s="19"/>
      <c r="E309" s="12"/>
    </row>
    <row r="310" ht="14.25" customHeight="1">
      <c r="A310" s="16" t="str">
        <f>Productos!B315</f>
        <v/>
      </c>
      <c r="B310" s="16" t="str">
        <f>Productos!C315</f>
        <v/>
      </c>
      <c r="C310" s="16" t="str">
        <f>Productos!E315</f>
        <v/>
      </c>
      <c r="D310" s="19"/>
      <c r="E310" s="12"/>
    </row>
    <row r="311" ht="14.25" customHeight="1">
      <c r="A311" s="16" t="str">
        <f>Productos!B316</f>
        <v/>
      </c>
      <c r="B311" s="16" t="str">
        <f>Productos!C316</f>
        <v/>
      </c>
      <c r="C311" s="16" t="str">
        <f>Productos!E316</f>
        <v/>
      </c>
      <c r="D311" s="19"/>
      <c r="E311" s="12"/>
    </row>
    <row r="312" ht="14.25" customHeight="1">
      <c r="A312" s="16" t="str">
        <f>Productos!B317</f>
        <v/>
      </c>
      <c r="B312" s="16" t="str">
        <f>Productos!C317</f>
        <v/>
      </c>
      <c r="C312" s="16" t="str">
        <f>Productos!E317</f>
        <v/>
      </c>
      <c r="D312" s="19"/>
      <c r="E312" s="12"/>
    </row>
    <row r="313" ht="14.25" customHeight="1">
      <c r="A313" s="16" t="str">
        <f>Productos!B318</f>
        <v/>
      </c>
      <c r="B313" s="16" t="str">
        <f>Productos!C318</f>
        <v/>
      </c>
      <c r="C313" s="16" t="str">
        <f>Productos!E318</f>
        <v/>
      </c>
      <c r="D313" s="19"/>
      <c r="E313" s="12"/>
    </row>
    <row r="314" ht="14.25" customHeight="1">
      <c r="A314" s="16" t="str">
        <f>Productos!B319</f>
        <v/>
      </c>
      <c r="B314" s="16" t="str">
        <f>Productos!C319</f>
        <v/>
      </c>
      <c r="C314" s="16" t="str">
        <f>Productos!E319</f>
        <v/>
      </c>
      <c r="D314" s="19"/>
      <c r="E314" s="12"/>
    </row>
    <row r="315" ht="14.25" customHeight="1">
      <c r="A315" s="16" t="str">
        <f>Productos!B320</f>
        <v/>
      </c>
      <c r="B315" s="16" t="str">
        <f>Productos!C320</f>
        <v/>
      </c>
      <c r="C315" s="16" t="str">
        <f>Productos!E320</f>
        <v/>
      </c>
      <c r="D315" s="19"/>
      <c r="E315" s="12"/>
    </row>
    <row r="316" ht="14.25" customHeight="1">
      <c r="A316" s="16" t="str">
        <f>Productos!B321</f>
        <v/>
      </c>
      <c r="B316" s="16" t="str">
        <f>Productos!C321</f>
        <v/>
      </c>
      <c r="C316" s="16" t="str">
        <f>Productos!E321</f>
        <v/>
      </c>
      <c r="D316" s="19"/>
      <c r="E316" s="12"/>
    </row>
    <row r="317" ht="14.25" customHeight="1">
      <c r="A317" s="16" t="str">
        <f>Productos!B322</f>
        <v/>
      </c>
      <c r="B317" s="16" t="str">
        <f>Productos!C322</f>
        <v/>
      </c>
      <c r="C317" s="16" t="str">
        <f>Productos!E322</f>
        <v/>
      </c>
      <c r="D317" s="19"/>
      <c r="E317" s="12"/>
    </row>
    <row r="318" ht="14.25" customHeight="1">
      <c r="A318" s="16" t="str">
        <f>Productos!B323</f>
        <v/>
      </c>
      <c r="B318" s="16" t="str">
        <f>Productos!C323</f>
        <v/>
      </c>
      <c r="C318" s="16" t="str">
        <f>Productos!E323</f>
        <v/>
      </c>
      <c r="D318" s="19"/>
      <c r="E318" s="12"/>
    </row>
    <row r="319" ht="14.25" customHeight="1">
      <c r="A319" s="16" t="str">
        <f>Productos!B324</f>
        <v/>
      </c>
      <c r="B319" s="16" t="str">
        <f>Productos!C324</f>
        <v/>
      </c>
      <c r="C319" s="16" t="str">
        <f>Productos!E324</f>
        <v/>
      </c>
      <c r="D319" s="19"/>
      <c r="E319" s="12"/>
    </row>
    <row r="320" ht="14.25" customHeight="1">
      <c r="A320" s="16" t="str">
        <f>Productos!B325</f>
        <v/>
      </c>
      <c r="B320" s="16" t="str">
        <f>Productos!C325</f>
        <v/>
      </c>
      <c r="C320" s="16" t="str">
        <f>Productos!E325</f>
        <v/>
      </c>
      <c r="D320" s="19"/>
      <c r="E320" s="12"/>
    </row>
    <row r="321" ht="14.25" customHeight="1">
      <c r="A321" s="16" t="str">
        <f>Productos!B326</f>
        <v/>
      </c>
      <c r="B321" s="16" t="str">
        <f>Productos!C326</f>
        <v/>
      </c>
      <c r="C321" s="16" t="str">
        <f>Productos!E326</f>
        <v/>
      </c>
      <c r="D321" s="19"/>
      <c r="E321" s="12"/>
    </row>
    <row r="322" ht="14.25" customHeight="1">
      <c r="A322" s="16" t="str">
        <f>Productos!B327</f>
        <v/>
      </c>
      <c r="B322" s="16" t="str">
        <f>Productos!C327</f>
        <v/>
      </c>
      <c r="C322" s="16" t="str">
        <f>Productos!E327</f>
        <v/>
      </c>
      <c r="D322" s="19"/>
      <c r="E322" s="12"/>
    </row>
    <row r="323" ht="14.25" customHeight="1">
      <c r="A323" s="16" t="str">
        <f>Productos!B328</f>
        <v/>
      </c>
      <c r="B323" s="16" t="str">
        <f>Productos!C328</f>
        <v/>
      </c>
      <c r="C323" s="16" t="str">
        <f>Productos!E328</f>
        <v/>
      </c>
      <c r="D323" s="19"/>
      <c r="E323" s="12"/>
    </row>
    <row r="324" ht="14.25" customHeight="1">
      <c r="A324" s="16" t="str">
        <f>Productos!B329</f>
        <v/>
      </c>
      <c r="B324" s="16" t="str">
        <f>Productos!C329</f>
        <v/>
      </c>
      <c r="C324" s="16" t="str">
        <f>Productos!E329</f>
        <v/>
      </c>
      <c r="D324" s="19"/>
      <c r="E324" s="12"/>
    </row>
    <row r="325" ht="14.25" customHeight="1">
      <c r="A325" s="16" t="str">
        <f>Productos!B330</f>
        <v/>
      </c>
      <c r="B325" s="16" t="str">
        <f>Productos!C330</f>
        <v/>
      </c>
      <c r="C325" s="16" t="str">
        <f>Productos!E330</f>
        <v/>
      </c>
      <c r="D325" s="19"/>
      <c r="E325" s="12"/>
    </row>
    <row r="326" ht="14.25" customHeight="1">
      <c r="A326" s="16" t="str">
        <f>Productos!B331</f>
        <v/>
      </c>
      <c r="B326" s="16" t="str">
        <f>Productos!C331</f>
        <v/>
      </c>
      <c r="C326" s="16" t="str">
        <f>Productos!E331</f>
        <v/>
      </c>
      <c r="D326" s="19"/>
      <c r="E326" s="12"/>
    </row>
    <row r="327" ht="14.25" customHeight="1">
      <c r="A327" s="16" t="str">
        <f>Productos!B332</f>
        <v/>
      </c>
      <c r="B327" s="16" t="str">
        <f>Productos!C332</f>
        <v/>
      </c>
      <c r="C327" s="16" t="str">
        <f>Productos!E332</f>
        <v/>
      </c>
      <c r="D327" s="19"/>
      <c r="E327" s="12"/>
    </row>
    <row r="328" ht="14.25" customHeight="1">
      <c r="A328" s="16" t="str">
        <f>Productos!B333</f>
        <v/>
      </c>
      <c r="B328" s="16" t="str">
        <f>Productos!C333</f>
        <v/>
      </c>
      <c r="C328" s="16" t="str">
        <f>Productos!E333</f>
        <v/>
      </c>
      <c r="D328" s="19"/>
      <c r="E328" s="12"/>
    </row>
    <row r="329" ht="14.25" customHeight="1">
      <c r="A329" s="16" t="str">
        <f>Productos!B334</f>
        <v/>
      </c>
      <c r="B329" s="16" t="str">
        <f>Productos!C334</f>
        <v/>
      </c>
      <c r="C329" s="16" t="str">
        <f>Productos!E334</f>
        <v/>
      </c>
      <c r="D329" s="19"/>
      <c r="E329" s="12"/>
    </row>
    <row r="330" ht="14.25" customHeight="1">
      <c r="A330" s="16" t="str">
        <f>Productos!B335</f>
        <v/>
      </c>
      <c r="B330" s="16" t="str">
        <f>Productos!C335</f>
        <v/>
      </c>
      <c r="C330" s="16" t="str">
        <f>Productos!E335</f>
        <v/>
      </c>
      <c r="D330" s="19"/>
      <c r="E330" s="12"/>
    </row>
    <row r="331" ht="14.25" customHeight="1">
      <c r="A331" s="16" t="str">
        <f>Productos!B336</f>
        <v/>
      </c>
      <c r="B331" s="16" t="str">
        <f>Productos!C336</f>
        <v/>
      </c>
      <c r="C331" s="16" t="str">
        <f>Productos!E336</f>
        <v/>
      </c>
      <c r="D331" s="19"/>
      <c r="E331" s="12"/>
    </row>
    <row r="332" ht="14.25" customHeight="1">
      <c r="A332" s="16" t="str">
        <f>Productos!B337</f>
        <v/>
      </c>
      <c r="B332" s="16" t="str">
        <f>Productos!C337</f>
        <v/>
      </c>
      <c r="C332" s="16" t="str">
        <f>Productos!E337</f>
        <v/>
      </c>
      <c r="D332" s="19"/>
      <c r="E332" s="12"/>
    </row>
    <row r="333" ht="14.25" customHeight="1">
      <c r="A333" s="16" t="str">
        <f>Productos!B338</f>
        <v/>
      </c>
      <c r="B333" s="16" t="str">
        <f>Productos!C338</f>
        <v/>
      </c>
      <c r="C333" s="16" t="str">
        <f>Productos!E338</f>
        <v/>
      </c>
      <c r="D333" s="19"/>
      <c r="E333" s="12"/>
    </row>
    <row r="334" ht="14.25" customHeight="1">
      <c r="A334" s="16" t="str">
        <f>Productos!B339</f>
        <v/>
      </c>
      <c r="B334" s="16" t="str">
        <f>Productos!C339</f>
        <v/>
      </c>
      <c r="C334" s="16" t="str">
        <f>Productos!E339</f>
        <v/>
      </c>
      <c r="D334" s="19"/>
      <c r="E334" s="12"/>
    </row>
    <row r="335" ht="14.25" customHeight="1">
      <c r="A335" s="16" t="str">
        <f>Productos!B340</f>
        <v/>
      </c>
      <c r="B335" s="16" t="str">
        <f>Productos!C340</f>
        <v/>
      </c>
      <c r="C335" s="16" t="str">
        <f>Productos!E340</f>
        <v/>
      </c>
      <c r="D335" s="19"/>
      <c r="E335" s="12"/>
    </row>
    <row r="336" ht="14.25" customHeight="1">
      <c r="A336" s="16" t="str">
        <f>Productos!B341</f>
        <v/>
      </c>
      <c r="B336" s="16" t="str">
        <f>Productos!C341</f>
        <v/>
      </c>
      <c r="C336" s="16" t="str">
        <f>Productos!E341</f>
        <v/>
      </c>
      <c r="D336" s="19"/>
      <c r="E336" s="12"/>
    </row>
    <row r="337" ht="14.25" customHeight="1">
      <c r="A337" s="16" t="str">
        <f>Productos!B342</f>
        <v/>
      </c>
      <c r="B337" s="16" t="str">
        <f>Productos!C342</f>
        <v/>
      </c>
      <c r="C337" s="16" t="str">
        <f>Productos!E342</f>
        <v/>
      </c>
      <c r="D337" s="19"/>
      <c r="E337" s="12"/>
    </row>
    <row r="338" ht="14.25" customHeight="1">
      <c r="A338" s="16" t="str">
        <f>Productos!B343</f>
        <v/>
      </c>
      <c r="B338" s="16" t="str">
        <f>Productos!C343</f>
        <v/>
      </c>
      <c r="C338" s="16" t="str">
        <f>Productos!E343</f>
        <v/>
      </c>
      <c r="D338" s="19"/>
      <c r="E338" s="12"/>
    </row>
    <row r="339" ht="14.25" customHeight="1">
      <c r="A339" s="16" t="str">
        <f>Productos!B344</f>
        <v/>
      </c>
      <c r="B339" s="16" t="str">
        <f>Productos!C344</f>
        <v/>
      </c>
      <c r="C339" s="16" t="str">
        <f>Productos!E344</f>
        <v/>
      </c>
      <c r="D339" s="19"/>
      <c r="E339" s="12"/>
    </row>
    <row r="340" ht="14.25" customHeight="1">
      <c r="A340" s="16" t="str">
        <f>Productos!B345</f>
        <v/>
      </c>
      <c r="B340" s="16" t="str">
        <f>Productos!C345</f>
        <v/>
      </c>
      <c r="C340" s="16" t="str">
        <f>Productos!E345</f>
        <v/>
      </c>
      <c r="D340" s="19"/>
      <c r="E340" s="12"/>
    </row>
    <row r="341" ht="14.25" customHeight="1">
      <c r="A341" s="16" t="str">
        <f>Productos!B346</f>
        <v/>
      </c>
      <c r="B341" s="16" t="str">
        <f>Productos!C346</f>
        <v/>
      </c>
      <c r="C341" s="16" t="str">
        <f>Productos!E346</f>
        <v/>
      </c>
      <c r="D341" s="19"/>
      <c r="E341" s="12"/>
    </row>
    <row r="342" ht="14.25" customHeight="1">
      <c r="A342" s="16" t="str">
        <f>Productos!B347</f>
        <v/>
      </c>
      <c r="B342" s="16" t="str">
        <f>Productos!C347</f>
        <v/>
      </c>
      <c r="C342" s="16" t="str">
        <f>Productos!E347</f>
        <v/>
      </c>
      <c r="D342" s="19"/>
      <c r="E342" s="12"/>
    </row>
    <row r="343" ht="14.25" customHeight="1">
      <c r="A343" s="16" t="str">
        <f>Productos!B348</f>
        <v/>
      </c>
      <c r="B343" s="16" t="str">
        <f>Productos!C348</f>
        <v/>
      </c>
      <c r="C343" s="16" t="str">
        <f>Productos!E348</f>
        <v/>
      </c>
      <c r="D343" s="19"/>
      <c r="E343" s="12"/>
    </row>
    <row r="344" ht="14.25" customHeight="1">
      <c r="A344" s="16" t="str">
        <f>Productos!B349</f>
        <v/>
      </c>
      <c r="B344" s="16" t="str">
        <f>Productos!C349</f>
        <v/>
      </c>
      <c r="C344" s="16" t="str">
        <f>Productos!E349</f>
        <v/>
      </c>
      <c r="D344" s="19"/>
      <c r="E344" s="12"/>
    </row>
    <row r="345" ht="14.25" customHeight="1">
      <c r="A345" s="16" t="str">
        <f>Productos!B350</f>
        <v/>
      </c>
      <c r="B345" s="16" t="str">
        <f>Productos!C350</f>
        <v/>
      </c>
      <c r="C345" s="16" t="str">
        <f>Productos!E350</f>
        <v/>
      </c>
      <c r="D345" s="19"/>
      <c r="E345" s="12"/>
    </row>
    <row r="346" ht="14.25" customHeight="1">
      <c r="A346" s="16" t="str">
        <f>Productos!B351</f>
        <v/>
      </c>
      <c r="B346" s="16" t="str">
        <f>Productos!C351</f>
        <v/>
      </c>
      <c r="C346" s="16" t="str">
        <f>Productos!E351</f>
        <v/>
      </c>
      <c r="D346" s="19"/>
      <c r="E346" s="12"/>
    </row>
    <row r="347" ht="14.25" customHeight="1">
      <c r="A347" s="16" t="str">
        <f>Productos!B352</f>
        <v/>
      </c>
      <c r="B347" s="16" t="str">
        <f>Productos!C352</f>
        <v/>
      </c>
      <c r="C347" s="16" t="str">
        <f>Productos!E352</f>
        <v/>
      </c>
      <c r="D347" s="19"/>
      <c r="E347" s="12"/>
    </row>
    <row r="348" ht="14.25" customHeight="1">
      <c r="A348" s="16" t="str">
        <f>Productos!B353</f>
        <v/>
      </c>
      <c r="B348" s="16" t="str">
        <f>Productos!C353</f>
        <v/>
      </c>
      <c r="C348" s="16" t="str">
        <f>Productos!E353</f>
        <v/>
      </c>
      <c r="D348" s="19"/>
      <c r="E348" s="12"/>
    </row>
    <row r="349" ht="14.25" customHeight="1">
      <c r="A349" s="16" t="str">
        <f>Productos!B354</f>
        <v/>
      </c>
      <c r="B349" s="16" t="str">
        <f>Productos!C354</f>
        <v/>
      </c>
      <c r="C349" s="16" t="str">
        <f>Productos!E354</f>
        <v/>
      </c>
      <c r="D349" s="19"/>
      <c r="E349" s="12"/>
    </row>
    <row r="350" ht="14.25" customHeight="1">
      <c r="A350" s="16" t="str">
        <f>Productos!B355</f>
        <v/>
      </c>
      <c r="B350" s="16" t="str">
        <f>Productos!C355</f>
        <v/>
      </c>
      <c r="C350" s="16" t="str">
        <f>Productos!E355</f>
        <v/>
      </c>
      <c r="D350" s="19"/>
      <c r="E350" s="12"/>
    </row>
    <row r="351" ht="14.25" customHeight="1">
      <c r="A351" s="16" t="str">
        <f>Productos!B356</f>
        <v/>
      </c>
      <c r="B351" s="16" t="str">
        <f>Productos!C356</f>
        <v/>
      </c>
      <c r="C351" s="16" t="str">
        <f>Productos!E356</f>
        <v/>
      </c>
      <c r="D351" s="19"/>
      <c r="E351" s="12"/>
    </row>
    <row r="352" ht="14.25" customHeight="1">
      <c r="A352" s="16" t="str">
        <f>Productos!B357</f>
        <v/>
      </c>
      <c r="B352" s="16" t="str">
        <f>Productos!C357</f>
        <v/>
      </c>
      <c r="C352" s="16" t="str">
        <f>Productos!E357</f>
        <v/>
      </c>
      <c r="D352" s="19"/>
      <c r="E352" s="12"/>
    </row>
    <row r="353" ht="14.25" customHeight="1">
      <c r="A353" s="16" t="str">
        <f>Productos!B358</f>
        <v/>
      </c>
      <c r="B353" s="16" t="str">
        <f>Productos!C358</f>
        <v/>
      </c>
      <c r="C353" s="16" t="str">
        <f>Productos!E358</f>
        <v/>
      </c>
      <c r="D353" s="19"/>
      <c r="E353" s="12"/>
    </row>
    <row r="354" ht="14.25" customHeight="1">
      <c r="A354" s="16" t="str">
        <f>Productos!B359</f>
        <v/>
      </c>
      <c r="B354" s="16" t="str">
        <f>Productos!C359</f>
        <v/>
      </c>
      <c r="C354" s="16" t="str">
        <f>Productos!E359</f>
        <v/>
      </c>
      <c r="D354" s="19"/>
      <c r="E354" s="12"/>
    </row>
    <row r="355" ht="14.25" customHeight="1">
      <c r="A355" s="16" t="str">
        <f>Productos!B360</f>
        <v/>
      </c>
      <c r="B355" s="16" t="str">
        <f>Productos!C360</f>
        <v/>
      </c>
      <c r="C355" s="16" t="str">
        <f>Productos!E360</f>
        <v/>
      </c>
      <c r="D355" s="19"/>
      <c r="E355" s="12"/>
    </row>
    <row r="356" ht="14.25" customHeight="1">
      <c r="A356" s="16" t="str">
        <f>Productos!B361</f>
        <v/>
      </c>
      <c r="B356" s="16" t="str">
        <f>Productos!C361</f>
        <v/>
      </c>
      <c r="C356" s="16" t="str">
        <f>Productos!E361</f>
        <v/>
      </c>
      <c r="D356" s="19"/>
      <c r="E356" s="12"/>
    </row>
    <row r="357" ht="14.25" customHeight="1">
      <c r="A357" s="16" t="str">
        <f>Productos!B362</f>
        <v/>
      </c>
      <c r="B357" s="16" t="str">
        <f>Productos!C362</f>
        <v/>
      </c>
      <c r="C357" s="16" t="str">
        <f>Productos!E362</f>
        <v/>
      </c>
      <c r="D357" s="19"/>
      <c r="E357" s="12"/>
    </row>
    <row r="358" ht="14.25" customHeight="1">
      <c r="A358" s="16" t="str">
        <f>Productos!B363</f>
        <v/>
      </c>
      <c r="B358" s="16" t="str">
        <f>Productos!C363</f>
        <v/>
      </c>
      <c r="C358" s="16" t="str">
        <f>Productos!E363</f>
        <v/>
      </c>
      <c r="D358" s="19"/>
      <c r="E358" s="12"/>
    </row>
    <row r="359" ht="14.25" customHeight="1">
      <c r="A359" s="16" t="str">
        <f>Productos!B364</f>
        <v/>
      </c>
      <c r="B359" s="16" t="str">
        <f>Productos!C364</f>
        <v/>
      </c>
      <c r="C359" s="16" t="str">
        <f>Productos!E364</f>
        <v/>
      </c>
      <c r="D359" s="19"/>
      <c r="E359" s="12"/>
    </row>
    <row r="360" ht="14.25" customHeight="1">
      <c r="A360" s="16" t="str">
        <f>Productos!B365</f>
        <v/>
      </c>
      <c r="B360" s="16" t="str">
        <f>Productos!C365</f>
        <v/>
      </c>
      <c r="C360" s="16" t="str">
        <f>Productos!E365</f>
        <v/>
      </c>
      <c r="D360" s="19"/>
      <c r="E360" s="12"/>
    </row>
    <row r="361" ht="14.25" customHeight="1">
      <c r="A361" s="16" t="str">
        <f>Productos!B366</f>
        <v/>
      </c>
      <c r="B361" s="16" t="str">
        <f>Productos!C366</f>
        <v/>
      </c>
      <c r="C361" s="16" t="str">
        <f>Productos!E366</f>
        <v/>
      </c>
      <c r="D361" s="19"/>
      <c r="E361" s="12"/>
    </row>
    <row r="362" ht="14.25" customHeight="1">
      <c r="A362" s="16" t="str">
        <f>Productos!B367</f>
        <v/>
      </c>
      <c r="B362" s="16" t="str">
        <f>Productos!C367</f>
        <v/>
      </c>
      <c r="C362" s="16" t="str">
        <f>Productos!E367</f>
        <v/>
      </c>
      <c r="D362" s="19"/>
      <c r="E362" s="12"/>
    </row>
    <row r="363" ht="14.25" customHeight="1">
      <c r="A363" s="16" t="str">
        <f>Productos!B368</f>
        <v/>
      </c>
      <c r="B363" s="16" t="str">
        <f>Productos!C368</f>
        <v/>
      </c>
      <c r="C363" s="16" t="str">
        <f>Productos!E368</f>
        <v/>
      </c>
      <c r="D363" s="19"/>
      <c r="E363" s="12"/>
    </row>
    <row r="364" ht="14.25" customHeight="1">
      <c r="A364" s="16" t="str">
        <f>Productos!B369</f>
        <v/>
      </c>
      <c r="B364" s="16" t="str">
        <f>Productos!C369</f>
        <v/>
      </c>
      <c r="C364" s="16" t="str">
        <f>Productos!E369</f>
        <v/>
      </c>
      <c r="D364" s="19"/>
      <c r="E364" s="12"/>
    </row>
    <row r="365" ht="14.25" customHeight="1">
      <c r="A365" s="16" t="str">
        <f>Productos!B370</f>
        <v/>
      </c>
      <c r="B365" s="16" t="str">
        <f>Productos!C370</f>
        <v/>
      </c>
      <c r="C365" s="16" t="str">
        <f>Productos!E370</f>
        <v/>
      </c>
      <c r="D365" s="19"/>
      <c r="E365" s="12"/>
    </row>
    <row r="366" ht="14.25" customHeight="1">
      <c r="A366" s="16" t="str">
        <f>Productos!B371</f>
        <v/>
      </c>
      <c r="B366" s="16" t="str">
        <f>Productos!C371</f>
        <v/>
      </c>
      <c r="C366" s="16" t="str">
        <f>Productos!E371</f>
        <v/>
      </c>
      <c r="D366" s="19"/>
      <c r="E366" s="12"/>
    </row>
    <row r="367" ht="14.25" customHeight="1">
      <c r="A367" s="16" t="str">
        <f>Productos!B372</f>
        <v/>
      </c>
      <c r="B367" s="16" t="str">
        <f>Productos!C372</f>
        <v/>
      </c>
      <c r="C367" s="16" t="str">
        <f>Productos!E372</f>
        <v/>
      </c>
      <c r="D367" s="19"/>
      <c r="E367" s="12"/>
    </row>
    <row r="368" ht="14.25" customHeight="1">
      <c r="A368" s="16" t="str">
        <f>Productos!B373</f>
        <v/>
      </c>
      <c r="B368" s="16" t="str">
        <f>Productos!C373</f>
        <v/>
      </c>
      <c r="C368" s="16" t="str">
        <f>Productos!E373</f>
        <v/>
      </c>
      <c r="D368" s="19"/>
      <c r="E368" s="12"/>
    </row>
    <row r="369" ht="14.25" customHeight="1">
      <c r="A369" s="16" t="str">
        <f>Productos!B374</f>
        <v/>
      </c>
      <c r="B369" s="16" t="str">
        <f>Productos!C374</f>
        <v/>
      </c>
      <c r="C369" s="16" t="str">
        <f>Productos!E374</f>
        <v/>
      </c>
      <c r="D369" s="19"/>
      <c r="E369" s="12"/>
    </row>
    <row r="370" ht="14.25" customHeight="1">
      <c r="A370" s="16" t="str">
        <f>Productos!B375</f>
        <v/>
      </c>
      <c r="B370" s="16" t="str">
        <f>Productos!C375</f>
        <v/>
      </c>
      <c r="C370" s="16" t="str">
        <f>Productos!E375</f>
        <v/>
      </c>
      <c r="D370" s="19"/>
      <c r="E370" s="12"/>
    </row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2025-11-11T11:27:14Z</dcterms:created>
  <dc:creator>openpyxl</dc:creator>
</cp:coreProperties>
</file>